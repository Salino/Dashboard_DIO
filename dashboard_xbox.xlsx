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ducab\Downloads\"/>
    </mc:Choice>
  </mc:AlternateContent>
  <xr:revisionPtr revIDLastSave="0" documentId="8_{A4D038AD-9AF3-438A-8BBD-C64C78E18DAE}" xr6:coauthVersionLast="47" xr6:coauthVersionMax="47" xr10:uidLastSave="{00000000-0000-0000-0000-000000000000}"/>
  <bookViews>
    <workbookView xWindow="-108" yWindow="-108" windowWidth="23256" windowHeight="12456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7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5" i="3" l="1"/>
  <c r="F25" i="3"/>
</calcChain>
</file>

<file path=xl/sharedStrings.xml><?xml version="1.0" encoding="utf-8"?>
<sst xmlns="http://schemas.openxmlformats.org/spreadsheetml/2006/main" count="2021" uniqueCount="324">
  <si>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</si>
  <si>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</si>
  <si>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</si>
  <si>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</si>
  <si>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</si>
  <si>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</si>
  <si>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</si>
  <si>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</si>
  <si>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</si>
  <si>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</si>
  <si>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</si>
  <si>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</si>
  <si>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</si>
  <si>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</si>
  <si>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</si>
  <si>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</si>
  <si>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</si>
  <si>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</si>
  <si>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</si>
  <si>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</si>
  <si>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</si>
  <si>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</si>
  <si>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</si>
  <si>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</si>
  <si>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</si>
  <si>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</si>
  <si>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</si>
  <si>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</si>
  <si>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</si>
  <si>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</si>
  <si>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</si>
  <si>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</si>
  <si>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</si>
  <si>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</si>
  <si>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</si>
  <si>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</si>
  <si>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</si>
  <si>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</si>
  <si>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</si>
  <si>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</si>
  <si>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</si>
  <si>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</si>
  <si>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</si>
  <si>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</si>
  <si>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</si>
  <si>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</si>
  <si>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</si>
  <si>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</si>
  <si>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</si>
  <si>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</si>
  <si>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</si>
  <si>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</si>
  <si>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</si>
  <si>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</si>
  <si>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</si>
  <si>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</si>
  <si>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</si>
  <si>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</si>
  <si>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</si>
  <si>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</si>
  <si>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</si>
  <si>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</si>
  <si>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</si>
  <si>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</si>
  <si>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</si>
  <si>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</si>
  <si>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</si>
  <si>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</si>
  <si>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</si>
  <si>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</si>
  <si>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</si>
  <si>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</si>
  <si>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</si>
  <si>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</si>
  <si>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</si>
  <si>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</si>
  <si>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</si>
  <si>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</si>
  <si>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</si>
  <si>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</si>
  <si>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</si>
  <si>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</si>
  <si>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</si>
  <si>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</si>
  <si>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</si>
  <si>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</si>
  <si>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</si>
  <si>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</si>
  <si>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</si>
  <si>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</si>
  <si>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</si>
  <si>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</si>
  <si>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</si>
  <si>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</si>
  <si>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</si>
  <si>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</si>
  <si>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</si>
  <si>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</si>
  <si>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</si>
  <si>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</si>
  <si>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</si>
  <si>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</si>
  <si>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</si>
  <si>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</si>
  <si>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</si>
  <si>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</si>
  <si>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</si>
  <si>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</si>
  <si>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</si>
  <si>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</si>
  <si>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</si>
  <si>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</si>
  <si>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</si>
  <si>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</si>
  <si>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</si>
  <si>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</si>
  <si>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</si>
  <si>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</si>
  <si>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</si>
  <si>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</si>
  <si>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</si>
  <si>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</si>
  <si>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</si>
  <si>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</si>
  <si>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</si>
  <si>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</si>
  <si>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</si>
  <si>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</si>
  <si>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</si>
  <si>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</si>
  <si>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</si>
  <si>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</si>
  <si>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</si>
  <si>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</si>
  <si>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</si>
  <si>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</si>
  <si>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</si>
  <si>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</si>
  <si>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</si>
  <si>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</si>
  <si>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</si>
  <si>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</si>
  <si>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</si>
  <si>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</si>
  <si>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</si>
  <si>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</si>
  <si>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</si>
  <si>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</si>
  <si>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</si>
  <si>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</si>
  <si>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</si>
  <si>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</si>
  <si>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</si>
  <si>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</si>
  <si>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</si>
  <si>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</si>
  <si>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</si>
  <si>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</si>
  <si>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</si>
  <si>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</si>
  <si>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</si>
  <si>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</si>
  <si>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</si>
  <si>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</si>
  <si>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</si>
  <si>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</si>
  <si>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</si>
  <si>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</si>
  <si>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</si>
  <si>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</si>
  <si>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</si>
  <si>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</si>
  <si>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</si>
  <si>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</si>
  <si>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</si>
  <si>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</si>
  <si>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</si>
  <si>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</si>
  <si>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</si>
  <si>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</si>
  <si>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</si>
  <si>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</si>
  <si>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</si>
  <si>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</si>
  <si>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</si>
  <si>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</si>
  <si>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</si>
  <si>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</si>
  <si>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</si>
  <si>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</si>
  <si>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</si>
  <si>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</si>
  <si>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</si>
  <si>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</si>
  <si>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</si>
  <si>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</si>
  <si>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</si>
  <si>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</si>
  <si>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</si>
  <si>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</si>
  <si>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</si>
  <si>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</si>
  <si>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</si>
  <si>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</si>
  <si>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</si>
  <si>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</si>
  <si>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</si>
  <si>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</si>
  <si>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</si>
  <si>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</si>
  <si>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</si>
  <si>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</si>
  <si>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</si>
  <si>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</si>
  <si>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</si>
  <si>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</si>
  <si>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</si>
  <si>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</si>
  <si>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</si>
  <si>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</si>
  <si>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</si>
  <si>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</si>
  <si>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</si>
  <si>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</si>
  <si>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</si>
  <si>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</si>
  <si>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</si>
  <si>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</si>
  <si>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</si>
  <si>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</si>
  <si>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</si>
  <si>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</si>
  <si>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</si>
  <si>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</si>
  <si>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</si>
  <si>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</si>
  <si>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</si>
  <si>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</si>
  <si>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</si>
  <si>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</si>
  <si>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</si>
  <si>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</si>
  <si>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</si>
  <si>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</si>
  <si>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</si>
  <si>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</si>
  <si>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</si>
  <si>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</si>
  <si>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</si>
  <si>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</si>
  <si>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</si>
  <si>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</si>
  <si>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</si>
  <si>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</si>
  <si>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</si>
  <si>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</si>
  <si>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</si>
  <si>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</si>
  <si>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</si>
  <si>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</si>
  <si>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</si>
  <si>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</si>
  <si>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</si>
  <si>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</si>
  <si>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</si>
  <si>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</si>
  <si>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</si>
  <si>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</si>
  <si>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</si>
  <si>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</si>
  <si>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</si>
  <si>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</si>
  <si>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</si>
  <si>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</si>
  <si>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</si>
  <si>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</si>
  <si>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</si>
  <si>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</si>
  <si>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</si>
  <si>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</si>
  <si>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</si>
  <si>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</si>
  <si>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</si>
  <si>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</si>
  <si>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</si>
  <si>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</si>
  <si>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</si>
  <si>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</si>
  <si>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</si>
  <si>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</si>
  <si>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</si>
  <si>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</si>
  <si>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</si>
  <si>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</si>
  <si>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</si>
  <si>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</si>
  <si>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</si>
  <si>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</si>
  <si>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</si>
  <si>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</si>
  <si>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</si>
  <si>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</si>
  <si>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</si>
  <si>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</si>
  <si>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</si>
  <si>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</si>
  <si>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</si>
  <si>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</si>
  <si>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</si>
  <si>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</si>
  <si>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</si>
  <si>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</si>
  <si>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</si>
  <si>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Soma de Total Value</t>
  </si>
  <si>
    <t>Rótulos de Linha</t>
  </si>
  <si>
    <t>Total Geral</t>
  </si>
  <si>
    <r>
      <t xml:space="preserve">Pergunta de Negócio 1 - Qual faturamento </t>
    </r>
    <r>
      <rPr>
        <b/>
        <sz val="11"/>
        <color theme="1"/>
        <rFont val="Aptos Narrow"/>
        <family val="2"/>
        <scheme val="minor"/>
      </rPr>
      <t xml:space="preserve">Total de vendas </t>
    </r>
    <r>
      <rPr>
        <sz val="11"/>
        <color theme="1"/>
        <rFont val="Aptos Narrow"/>
        <family val="2"/>
        <scheme val="minor"/>
      </rPr>
      <t>de</t>
    </r>
    <r>
      <rPr>
        <b/>
        <sz val="11"/>
        <color theme="1"/>
        <rFont val="Aptos Narrow"/>
        <family val="2"/>
        <scheme val="minor"/>
      </rPr>
      <t xml:space="preserve"> planos anuais</t>
    </r>
    <r>
      <rPr>
        <sz val="11"/>
        <color theme="1"/>
        <rFont val="Aptos Narrow"/>
        <family val="2"/>
        <scheme val="minor"/>
      </rPr>
      <t xml:space="preserve"> (Contendo todas as assinaturas agregadas)</t>
    </r>
  </si>
  <si>
    <r>
      <t>Pergunta de Negócio 3 -</t>
    </r>
    <r>
      <rPr>
        <b/>
        <sz val="11"/>
        <color theme="1"/>
        <rFont val="Aptos Narrow"/>
        <family val="2"/>
        <scheme val="minor"/>
      </rPr>
      <t xml:space="preserve"> Total de vendas de Assinatura do EA Play</t>
    </r>
  </si>
  <si>
    <t>Soma de EA Play Season Pass</t>
  </si>
  <si>
    <r>
      <t xml:space="preserve">Pergunta de Negócio 2 - Qual Faturamento </t>
    </r>
    <r>
      <rPr>
        <b/>
        <sz val="11"/>
        <color theme="1"/>
        <rFont val="Aptos Narrow"/>
        <family val="2"/>
        <scheme val="minor"/>
      </rPr>
      <t xml:space="preserve">Total de vendas </t>
    </r>
    <r>
      <rPr>
        <sz val="11"/>
        <color theme="1"/>
        <rFont val="Aptos Narrow"/>
        <family val="2"/>
        <scheme val="minor"/>
      </rPr>
      <t>de planos anuais, separados por auto renovação não é por auto renovação</t>
    </r>
  </si>
  <si>
    <r>
      <t>Pergunta de Negócio 4 -</t>
    </r>
    <r>
      <rPr>
        <b/>
        <sz val="11"/>
        <color theme="1"/>
        <rFont val="Aptos Narrow"/>
        <family val="2"/>
        <scheme val="minor"/>
      </rPr>
      <t xml:space="preserve"> Total de vendas de Assinatura do Minecraft Seasson Pass</t>
    </r>
  </si>
  <si>
    <t>Soma de Minecraft Season Pass Price</t>
  </si>
  <si>
    <t>(Vários itens)</t>
  </si>
  <si>
    <t xml:space="preserve">                 XBOX GAME PASS SUBSCRIPTIONS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</si>
</sst>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5" formatCode="&quot;R$&quot;\ #,##0.00"/>
  </numFmts>
  <fonts count="7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5"/>
      <color rgb="FF22C55E"/>
      <name val="Amasis MT Pro Black"/>
      <family val="1"/>
    </font>
    <font>
      <sz val="14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3" tint="0.89999084444715716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4" tint="0.39997558519241921"/>
      </top>
      <bottom/>
      <diagonal/>
    </border>
    <border>
      <left/>
      <right/>
      <top/>
      <bottom style="thick">
        <color rgb="FF22C55E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2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4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5" fillId="7" borderId="0" xfId="0" applyFont="1" applyFill="1"/>
    <xf numFmtId="0" fontId="6" fillId="7" borderId="0" xfId="0" applyFont="1" applyFill="1"/>
    <xf numFmtId="165" fontId="3" fillId="8" borderId="2" xfId="0" applyNumberFormat="1" applyFont="1" applyFill="1" applyBorder="1"/>
    <xf numFmtId="165" fontId="0" fillId="9" borderId="0" xfId="0" applyNumberFormat="1" applyFill="1"/>
    <xf numFmtId="0" fontId="4" fillId="0" borderId="3" xfId="1" applyFont="1" applyBorder="1"/>
    <xf numFmtId="0" fontId="0" fillId="0" borderId="3" xfId="0" applyBorder="1"/>
  </cellXfs>
  <cellStyles count="3">
    <cellStyle name="Moeda" xfId="2" builtinId="4"/>
    <cellStyle name="Normal" xfId="0" builtinId="0"/>
    <cellStyle name="Título 1" xfId="1" builtinId="16"/>
  </cellStyles>
  <dxfs count="16">
    <dxf>
      <font>
        <b/>
        <color theme="1"/>
      </font>
      <fill>
        <patternFill>
          <bgColor rgb="FF00B050"/>
        </patternFill>
      </fill>
      <border>
        <bottom style="thin">
          <color theme="9"/>
        </bottom>
        <vertical/>
        <horizontal/>
      </border>
    </dxf>
    <dxf>
      <font>
        <color theme="1"/>
      </font>
      <fill>
        <patternFill patternType="solid">
          <fgColor auto="1"/>
          <bgColor theme="6" tint="0.39994506668294322"/>
        </patternFill>
      </fill>
      <border diagonalUp="0" diagonalDown="0">
        <left/>
        <right/>
        <top/>
        <bottom/>
        <vertical/>
        <horizontal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1" defaultTableStyle="TableStyleMedium2" defaultPivotStyle="PivotStyleLight16">
    <tableStyle name="SlicerStyleLight6 2" pivot="0" table="0" count="10" xr9:uid="{51AFADA2-6DCC-4466-9FAC-64FD5468423B}">
      <tableStyleElement type="wholeTable" dxfId="1"/>
      <tableStyleElement type="headerRow" dxfId="0"/>
    </tableStyle>
  </tableStyles>
  <colors>
    <mruColors>
      <color rgb="FF22C55E"/>
      <color rgb="FF5BF6A8"/>
      <color rgb="FF92D050"/>
      <color rgb="FFE0E0E0"/>
      <color rgb="FF000000"/>
      <color rgb="FF2AE6B1"/>
      <color rgb="FFE8E6E9"/>
      <color rgb="FFEDEDED"/>
      <color rgb="FFF7F8FC"/>
      <color rgb="FF9BC848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[dashboard_xbox.xlsx]C̳álculos!Tbl_anual_total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</c:pivotFmt>
      <c:pivotFmt>
        <c:idx val="2"/>
        <c:spPr>
          <a:solidFill>
            <a:srgbClr val="5BF6A8"/>
          </a:solidFill>
          <a:ln>
            <a:solidFill>
              <a:schemeClr val="bg1"/>
            </a:solidFill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5BF6A8"/>
          </a:solidFill>
          <a:ln>
            <a:solidFill>
              <a:schemeClr val="bg1"/>
            </a:solidFill>
          </a:ln>
          <a:effectLst/>
        </c:spPr>
      </c:pivotFmt>
      <c:pivotFmt>
        <c:idx val="5"/>
        <c:spPr>
          <a:solidFill>
            <a:srgbClr val="5BF6A8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5BF6A8"/>
          </a:solidFill>
          <a:ln>
            <a:solidFill>
              <a:schemeClr val="bg1"/>
            </a:solidFill>
          </a:ln>
          <a:effectLst/>
        </c:spPr>
      </c:pivotFmt>
      <c:pivotFmt>
        <c:idx val="8"/>
        <c:spPr>
          <a:solidFill>
            <a:srgbClr val="5BF6A8"/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5.9100297712075228E-2"/>
          <c:y val="0.22018081073199183"/>
          <c:w val="0.90756629492908636"/>
          <c:h val="0.7150043744531933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C̳álculos!$C$8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5BF6A8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B1C-4442-8B2D-0C98F696ED1F}"/>
              </c:ext>
            </c:extLst>
          </c:dPt>
          <c:dPt>
            <c:idx val="1"/>
            <c:invertIfNegative val="0"/>
            <c:bubble3D val="0"/>
            <c:spPr>
              <a:solidFill>
                <a:srgbClr val="5BF6A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B1C-4442-8B2D-0C98F696ED1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C̳álculos!$B$9:$B$11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C̳álculos!$C$9:$C$11</c:f>
              <c:numCache>
                <c:formatCode>_("R$"* #,##0.00_);_("R$"* \(#,##0.00\);_("R$"* "-"??_);_(@_)</c:formatCode>
                <c:ptCount val="2"/>
                <c:pt idx="0">
                  <c:v>3630</c:v>
                </c:pt>
                <c:pt idx="1">
                  <c:v>2249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B1C-4442-8B2D-0C98F696ED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17759024"/>
        <c:axId val="1317756144"/>
      </c:barChart>
      <c:catAx>
        <c:axId val="13177590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17756144"/>
        <c:crosses val="autoZero"/>
        <c:auto val="1"/>
        <c:lblAlgn val="ctr"/>
        <c:lblOffset val="100"/>
        <c:noMultiLvlLbl val="0"/>
      </c:catAx>
      <c:valAx>
        <c:axId val="1317756144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317759024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7" Type="http://schemas.openxmlformats.org/officeDocument/2006/relationships/image" Target="../media/image5.png"/><Relationship Id="rId2" Type="http://schemas.openxmlformats.org/officeDocument/2006/relationships/image" Target="../media/image11.png"/><Relationship Id="rId1" Type="http://schemas.openxmlformats.org/officeDocument/2006/relationships/chart" Target="../charts/chart1.xml"/><Relationship Id="rId6" Type="http://schemas.openxmlformats.org/officeDocument/2006/relationships/image" Target="../media/image10.svg"/><Relationship Id="rId5" Type="http://schemas.openxmlformats.org/officeDocument/2006/relationships/image" Target="../media/image9.png"/><Relationship Id="rId4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219699"/>
          <a:ext cx="1549476" cy="72199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152400</xdr:colOff>
      <xdr:row>19</xdr:row>
      <xdr:rowOff>66675</xdr:rowOff>
    </xdr:from>
    <xdr:to>
      <xdr:col>21</xdr:col>
      <xdr:colOff>142875</xdr:colOff>
      <xdr:row>36</xdr:row>
      <xdr:rowOff>104775</xdr:rowOff>
    </xdr:to>
    <xdr:grpSp>
      <xdr:nvGrpSpPr>
        <xdr:cNvPr id="9" name="Agrupar 8">
          <a:extLst>
            <a:ext uri="{FF2B5EF4-FFF2-40B4-BE49-F238E27FC236}">
              <a16:creationId xmlns:a16="http://schemas.microsoft.com/office/drawing/2014/main" id="{03436EAA-3E91-35D0-84A7-AF77FEF9695F}"/>
            </a:ext>
          </a:extLst>
        </xdr:cNvPr>
        <xdr:cNvGrpSpPr/>
      </xdr:nvGrpSpPr>
      <xdr:grpSpPr>
        <a:xfrm>
          <a:off x="1771650" y="4086225"/>
          <a:ext cx="11410950" cy="3114675"/>
          <a:chOff x="1504950" y="1295400"/>
          <a:chExt cx="5219700" cy="3114675"/>
        </a:xfrm>
      </xdr:grpSpPr>
      <xdr:sp macro="" textlink="">
        <xdr:nvSpPr>
          <xdr:cNvPr id="8" name="Retângulo: Cantos Arredondados 7">
            <a:extLst>
              <a:ext uri="{FF2B5EF4-FFF2-40B4-BE49-F238E27FC236}">
                <a16:creationId xmlns:a16="http://schemas.microsoft.com/office/drawing/2014/main" id="{318B6347-FF0D-4905-9456-600E4B908076}"/>
              </a:ext>
            </a:extLst>
          </xdr:cNvPr>
          <xdr:cNvSpPr/>
        </xdr:nvSpPr>
        <xdr:spPr>
          <a:xfrm>
            <a:off x="1504950" y="1295400"/>
            <a:ext cx="5219700" cy="3114675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200"/>
          </a:p>
        </xdr:txBody>
      </xdr:sp>
      <xdr:graphicFrame macro="">
        <xdr:nvGraphicFramePr>
          <xdr:cNvPr id="5" name="Gráfico 4">
            <a:extLst>
              <a:ext uri="{FF2B5EF4-FFF2-40B4-BE49-F238E27FC236}">
                <a16:creationId xmlns:a16="http://schemas.microsoft.com/office/drawing/2014/main" id="{82B15385-70CD-4E21-970B-EDA34BAF5EDF}"/>
              </a:ext>
            </a:extLst>
          </xdr:cNvPr>
          <xdr:cNvGraphicFramePr>
            <a:graphicFrameLocks/>
          </xdr:cNvGraphicFramePr>
        </xdr:nvGraphicFramePr>
        <xdr:xfrm>
          <a:off x="1609724" y="1819274"/>
          <a:ext cx="4943475" cy="237172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</xdr:grpSp>
    <xdr:clientData/>
  </xdr:twoCellAnchor>
  <xdr:twoCellAnchor editAs="absolute">
    <xdr:from>
      <xdr:col>1</xdr:col>
      <xdr:colOff>152401</xdr:colOff>
      <xdr:row>0</xdr:row>
      <xdr:rowOff>0</xdr:rowOff>
    </xdr:from>
    <xdr:to>
      <xdr:col>3</xdr:col>
      <xdr:colOff>9525</xdr:colOff>
      <xdr:row>2</xdr:row>
      <xdr:rowOff>191041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2EB6526D-DC59-42BE-AC1A-7B2CDEFBD20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70957"/>
        <a:stretch>
          <a:fillRect/>
        </a:stretch>
      </xdr:blipFill>
      <xdr:spPr>
        <a:xfrm>
          <a:off x="1524001" y="0"/>
          <a:ext cx="714374" cy="838741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3</xdr:row>
      <xdr:rowOff>36195</xdr:rowOff>
    </xdr:from>
    <xdr:to>
      <xdr:col>1</xdr:col>
      <xdr:colOff>0</xdr:colOff>
      <xdr:row>17</xdr:row>
      <xdr:rowOff>74295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6" name="Subscription Type">
              <a:extLst>
                <a:ext uri="{FF2B5EF4-FFF2-40B4-BE49-F238E27FC236}">
                  <a16:creationId xmlns:a16="http://schemas.microsoft.com/office/drawing/2014/main" id="{AD3417FD-AFD2-4633-9DF4-A6B71B97DE3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150620"/>
              <a:ext cx="1371600" cy="25812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1</xdr:col>
      <xdr:colOff>238124</xdr:colOff>
      <xdr:row>5</xdr:row>
      <xdr:rowOff>104775</xdr:rowOff>
    </xdr:from>
    <xdr:to>
      <xdr:col>10</xdr:col>
      <xdr:colOff>209549</xdr:colOff>
      <xdr:row>20</xdr:row>
      <xdr:rowOff>152400</xdr:rowOff>
    </xdr:to>
    <xdr:sp macro="" textlink="">
      <xdr:nvSpPr>
        <xdr:cNvPr id="7" name="Retângulo: Cantos Arredondados 6">
          <a:extLst>
            <a:ext uri="{FF2B5EF4-FFF2-40B4-BE49-F238E27FC236}">
              <a16:creationId xmlns:a16="http://schemas.microsoft.com/office/drawing/2014/main" id="{4E961D9D-B58C-8BE9-6246-ED1F4D34D955}"/>
            </a:ext>
          </a:extLst>
        </xdr:cNvPr>
        <xdr:cNvSpPr/>
      </xdr:nvSpPr>
      <xdr:spPr>
        <a:xfrm>
          <a:off x="1609724" y="1409700"/>
          <a:ext cx="5095875" cy="289560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180975</xdr:colOff>
      <xdr:row>7</xdr:row>
      <xdr:rowOff>242887</xdr:rowOff>
    </xdr:from>
    <xdr:to>
      <xdr:col>11</xdr:col>
      <xdr:colOff>114300</xdr:colOff>
      <xdr:row>17</xdr:row>
      <xdr:rowOff>33337</xdr:rowOff>
    </xdr:to>
    <xdr:grpSp>
      <xdr:nvGrpSpPr>
        <xdr:cNvPr id="16" name="Agrupar 15">
          <a:extLst>
            <a:ext uri="{FF2B5EF4-FFF2-40B4-BE49-F238E27FC236}">
              <a16:creationId xmlns:a16="http://schemas.microsoft.com/office/drawing/2014/main" id="{DA8CB046-0F66-65F0-E49B-E23CDBC6580D}"/>
            </a:ext>
          </a:extLst>
        </xdr:cNvPr>
        <xdr:cNvGrpSpPr/>
      </xdr:nvGrpSpPr>
      <xdr:grpSpPr>
        <a:xfrm>
          <a:off x="1800225" y="1804987"/>
          <a:ext cx="5419725" cy="1885950"/>
          <a:chOff x="7162800" y="1276350"/>
          <a:chExt cx="5715000" cy="2257425"/>
        </a:xfrm>
      </xdr:grpSpPr>
      <xdr:sp macro="" textlink="">
        <xdr:nvSpPr>
          <xdr:cNvPr id="10" name="Retângulo: Cantos Arredondados 9">
            <a:extLst>
              <a:ext uri="{FF2B5EF4-FFF2-40B4-BE49-F238E27FC236}">
                <a16:creationId xmlns:a16="http://schemas.microsoft.com/office/drawing/2014/main" id="{B62249BE-C5C5-49A9-6B98-D8B2FD52DC93}"/>
              </a:ext>
            </a:extLst>
          </xdr:cNvPr>
          <xdr:cNvSpPr/>
        </xdr:nvSpPr>
        <xdr:spPr>
          <a:xfrm>
            <a:off x="7172325" y="1295400"/>
            <a:ext cx="5705475" cy="2238375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endParaRPr lang="pt-BR" sz="1000"/>
          </a:p>
        </xdr:txBody>
      </xdr:sp>
      <xdr:sp macro="" textlink="">
        <xdr:nvSpPr>
          <xdr:cNvPr id="13" name="Retângulo: Cantos Superiores Arredondados 12">
            <a:extLst>
              <a:ext uri="{FF2B5EF4-FFF2-40B4-BE49-F238E27FC236}">
                <a16:creationId xmlns:a16="http://schemas.microsoft.com/office/drawing/2014/main" id="{4FB33DDE-81C2-5C68-6138-88E76301EF55}"/>
              </a:ext>
            </a:extLst>
          </xdr:cNvPr>
          <xdr:cNvSpPr/>
        </xdr:nvSpPr>
        <xdr:spPr>
          <a:xfrm>
            <a:off x="7162800" y="1276350"/>
            <a:ext cx="5715000" cy="685800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800" b="0">
                <a:latin typeface="Amasis MT Pro Black" panose="02040A04050005020304" pitchFamily="18" charset="0"/>
              </a:rPr>
              <a:t>TOTAL</a:t>
            </a:r>
            <a:r>
              <a:rPr lang="pt-BR" sz="1800" b="0" baseline="0"/>
              <a:t> SUBSCRIPTION S EA PLAY SEASSON PASS</a:t>
            </a:r>
            <a:endParaRPr lang="pt-BR" sz="1800" b="0"/>
          </a:p>
        </xdr:txBody>
      </xdr:sp>
      <xdr:sp macro="" textlink="C̳álculos!F25">
        <xdr:nvSpPr>
          <xdr:cNvPr id="14" name="Retângulo: Cantos Arredondados 13">
            <a:extLst>
              <a:ext uri="{FF2B5EF4-FFF2-40B4-BE49-F238E27FC236}">
                <a16:creationId xmlns:a16="http://schemas.microsoft.com/office/drawing/2014/main" id="{E4FA8FFD-71C1-B3C3-97A0-752253F570DD}"/>
              </a:ext>
            </a:extLst>
          </xdr:cNvPr>
          <xdr:cNvSpPr/>
        </xdr:nvSpPr>
        <xdr:spPr>
          <a:xfrm>
            <a:off x="9105900" y="2284095"/>
            <a:ext cx="3590925" cy="798195"/>
          </a:xfrm>
          <a:prstGeom prst="roundRect">
            <a:avLst>
              <a:gd name="adj" fmla="val 50000"/>
            </a:avLst>
          </a:prstGeom>
          <a:solidFill>
            <a:srgbClr val="5BF6A8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2A2AAAF5-0377-46E8-B0B5-7B3E624A2E95}" type="TxLink">
              <a:rPr lang="en-US" sz="3200" b="0" i="0" u="none" strike="noStrike">
                <a:solidFill>
                  <a:srgbClr val="000000"/>
                </a:solidFill>
                <a:latin typeface="Aptos Narrow"/>
              </a:rPr>
              <a:t>R$ 2.340,00</a:t>
            </a:fld>
            <a:endParaRPr lang="pt-BR" sz="13800" b="0"/>
          </a:p>
        </xdr:txBody>
      </xdr:sp>
      <xdr:pic>
        <xdr:nvPicPr>
          <xdr:cNvPr id="15" name="Imagem 14">
            <a:extLst>
              <a:ext uri="{FF2B5EF4-FFF2-40B4-BE49-F238E27FC236}">
                <a16:creationId xmlns:a16="http://schemas.microsoft.com/office/drawing/2014/main" id="{FDCFB063-CD44-7694-7A73-55D05944E98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7381875" y="1981200"/>
            <a:ext cx="1552575" cy="1403984"/>
          </a:xfrm>
          <a:prstGeom prst="rect">
            <a:avLst/>
          </a:prstGeom>
        </xdr:spPr>
      </xdr:pic>
    </xdr:grpSp>
    <xdr:clientData/>
  </xdr:twoCellAnchor>
  <xdr:twoCellAnchor>
    <xdr:from>
      <xdr:col>12</xdr:col>
      <xdr:colOff>9525</xdr:colOff>
      <xdr:row>7</xdr:row>
      <xdr:rowOff>228600</xdr:rowOff>
    </xdr:from>
    <xdr:to>
      <xdr:col>20</xdr:col>
      <xdr:colOff>571500</xdr:colOff>
      <xdr:row>17</xdr:row>
      <xdr:rowOff>66675</xdr:rowOff>
    </xdr:to>
    <xdr:grpSp>
      <xdr:nvGrpSpPr>
        <xdr:cNvPr id="25" name="Agrupar 24">
          <a:extLst>
            <a:ext uri="{FF2B5EF4-FFF2-40B4-BE49-F238E27FC236}">
              <a16:creationId xmlns:a16="http://schemas.microsoft.com/office/drawing/2014/main" id="{B08E911E-DAB4-DA26-EB6F-B4808D7E9EDF}"/>
            </a:ext>
          </a:extLst>
        </xdr:cNvPr>
        <xdr:cNvGrpSpPr/>
      </xdr:nvGrpSpPr>
      <xdr:grpSpPr>
        <a:xfrm>
          <a:off x="7562850" y="1790700"/>
          <a:ext cx="5438775" cy="1933575"/>
          <a:chOff x="7124700" y="3733800"/>
          <a:chExt cx="5438775" cy="1933575"/>
        </a:xfrm>
      </xdr:grpSpPr>
      <xdr:grpSp>
        <xdr:nvGrpSpPr>
          <xdr:cNvPr id="17" name="Agrupar 16">
            <a:extLst>
              <a:ext uri="{FF2B5EF4-FFF2-40B4-BE49-F238E27FC236}">
                <a16:creationId xmlns:a16="http://schemas.microsoft.com/office/drawing/2014/main" id="{46672432-EC9C-427F-AE3C-E59FF2236250}"/>
              </a:ext>
            </a:extLst>
          </xdr:cNvPr>
          <xdr:cNvGrpSpPr/>
        </xdr:nvGrpSpPr>
        <xdr:grpSpPr>
          <a:xfrm>
            <a:off x="7124700" y="3733800"/>
            <a:ext cx="5438775" cy="1933575"/>
            <a:chOff x="7162800" y="1276350"/>
            <a:chExt cx="5715000" cy="2257425"/>
          </a:xfrm>
        </xdr:grpSpPr>
        <xdr:sp macro="" textlink="">
          <xdr:nvSpPr>
            <xdr:cNvPr id="18" name="Retângulo: Cantos Arredondados 17">
              <a:extLst>
                <a:ext uri="{FF2B5EF4-FFF2-40B4-BE49-F238E27FC236}">
                  <a16:creationId xmlns:a16="http://schemas.microsoft.com/office/drawing/2014/main" id="{8416F8BF-884F-7E9A-643C-F999C0DD3709}"/>
                </a:ext>
              </a:extLst>
            </xdr:cNvPr>
            <xdr:cNvSpPr/>
          </xdr:nvSpPr>
          <xdr:spPr>
            <a:xfrm>
              <a:off x="7172325" y="1295400"/>
              <a:ext cx="5705475" cy="2238375"/>
            </a:xfrm>
            <a:prstGeom prst="round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endParaRPr lang="pt-BR" sz="1000"/>
            </a:p>
          </xdr:txBody>
        </xdr:sp>
        <xdr:sp macro="" textlink="">
          <xdr:nvSpPr>
            <xdr:cNvPr id="19" name="Retângulo: Cantos Superiores Arredondados 18">
              <a:extLst>
                <a:ext uri="{FF2B5EF4-FFF2-40B4-BE49-F238E27FC236}">
                  <a16:creationId xmlns:a16="http://schemas.microsoft.com/office/drawing/2014/main" id="{AF26CF26-ECC2-ABC5-D784-EA01EFBF3366}"/>
                </a:ext>
              </a:extLst>
            </xdr:cNvPr>
            <xdr:cNvSpPr/>
          </xdr:nvSpPr>
          <xdr:spPr>
            <a:xfrm>
              <a:off x="7162800" y="1276350"/>
              <a:ext cx="5715000" cy="685800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800" b="0">
                  <a:latin typeface="Amasis MT Pro Black" panose="02040A04050005020304" pitchFamily="18" charset="0"/>
                </a:rPr>
                <a:t>TOTAL</a:t>
              </a:r>
              <a:r>
                <a:rPr lang="pt-BR" sz="1800" b="0" baseline="0"/>
                <a:t> SUBSCRIPTIONS MINECRAFT SEASSON PASS</a:t>
              </a:r>
              <a:endParaRPr lang="pt-BR" sz="1800" b="0"/>
            </a:p>
          </xdr:txBody>
        </xdr:sp>
        <xdr:sp macro="" textlink="C̳álculos!F35">
          <xdr:nvSpPr>
            <xdr:cNvPr id="20" name="Retângulo: Cantos Arredondados 19">
              <a:extLst>
                <a:ext uri="{FF2B5EF4-FFF2-40B4-BE49-F238E27FC236}">
                  <a16:creationId xmlns:a16="http://schemas.microsoft.com/office/drawing/2014/main" id="{E6EB67C9-99E5-213F-723C-0F3EA0F4E026}"/>
                </a:ext>
              </a:extLst>
            </xdr:cNvPr>
            <xdr:cNvSpPr/>
          </xdr:nvSpPr>
          <xdr:spPr>
            <a:xfrm>
              <a:off x="9105900" y="2284095"/>
              <a:ext cx="3590925" cy="798195"/>
            </a:xfrm>
            <a:prstGeom prst="roundRect">
              <a:avLst>
                <a:gd name="adj" fmla="val 50000"/>
              </a:avLst>
            </a:prstGeom>
            <a:solidFill>
              <a:srgbClr val="5BF6A8"/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488A9DF7-BD10-4720-B5B6-831EE6DFE937}" type="TxLink">
                <a:rPr lang="en-US" sz="3600" b="0" i="0" u="none" strike="noStrike">
                  <a:solidFill>
                    <a:srgbClr val="000000"/>
                  </a:solidFill>
                  <a:latin typeface="Aptos Narrow"/>
                </a:rPr>
                <a:t>R$ 2.940,00</a:t>
              </a:fld>
              <a:endParaRPr lang="pt-BR" sz="16600"/>
            </a:p>
          </xdr:txBody>
        </xdr:sp>
      </xdr:grpSp>
      <xdr:grpSp>
        <xdr:nvGrpSpPr>
          <xdr:cNvPr id="22" name="Agrupar 21">
            <a:extLst>
              <a:ext uri="{FF2B5EF4-FFF2-40B4-BE49-F238E27FC236}">
                <a16:creationId xmlns:a16="http://schemas.microsoft.com/office/drawing/2014/main" id="{964C7FC6-BF0F-4197-BD36-32EE8DB34909}"/>
              </a:ext>
            </a:extLst>
          </xdr:cNvPr>
          <xdr:cNvGrpSpPr/>
        </xdr:nvGrpSpPr>
        <xdr:grpSpPr>
          <a:xfrm>
            <a:off x="7362825" y="4562475"/>
            <a:ext cx="1323975" cy="714375"/>
            <a:chOff x="3495675" y="5400674"/>
            <a:chExt cx="1549476" cy="752476"/>
          </a:xfrm>
        </xdr:grpSpPr>
        <xdr:pic>
          <xdr:nvPicPr>
            <xdr:cNvPr id="23" name="Imagem 22">
              <a:extLst>
                <a:ext uri="{FF2B5EF4-FFF2-40B4-BE49-F238E27FC236}">
                  <a16:creationId xmlns:a16="http://schemas.microsoft.com/office/drawing/2014/main" id="{71E2322E-2CEE-0E86-E534-691CE1BA8D19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4" name="Gráfico 23">
              <a:extLst>
                <a:ext uri="{FF2B5EF4-FFF2-40B4-BE49-F238E27FC236}">
                  <a16:creationId xmlns:a16="http://schemas.microsoft.com/office/drawing/2014/main" id="{9EF7A838-3B9C-9156-5DC4-579BA1EC98D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2</xdr:col>
      <xdr:colOff>161924</xdr:colOff>
      <xdr:row>19</xdr:row>
      <xdr:rowOff>66674</xdr:rowOff>
    </xdr:from>
    <xdr:to>
      <xdr:col>21</xdr:col>
      <xdr:colOff>142874</xdr:colOff>
      <xdr:row>21</xdr:row>
      <xdr:rowOff>133349</xdr:rowOff>
    </xdr:to>
    <xdr:sp macro="" textlink="">
      <xdr:nvSpPr>
        <xdr:cNvPr id="27" name="Retângulo: Cantos Superiores Arredondados 26">
          <a:extLst>
            <a:ext uri="{FF2B5EF4-FFF2-40B4-BE49-F238E27FC236}">
              <a16:creationId xmlns:a16="http://schemas.microsoft.com/office/drawing/2014/main" id="{D9CCD483-614B-AB82-963D-B675882732D6}"/>
            </a:ext>
          </a:extLst>
        </xdr:cNvPr>
        <xdr:cNvSpPr/>
      </xdr:nvSpPr>
      <xdr:spPr>
        <a:xfrm>
          <a:off x="1781174" y="4086224"/>
          <a:ext cx="11401425" cy="428625"/>
        </a:xfrm>
        <a:prstGeom prst="round2SameRect">
          <a:avLst>
            <a:gd name="adj1" fmla="val 50000"/>
            <a:gd name="adj2" fmla="val 0"/>
          </a:avLst>
        </a:prstGeom>
        <a:solidFill>
          <a:srgbClr val="22C55E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Amasis MT Pro Black" panose="02040A04050005020304" pitchFamily="18" charset="0"/>
            </a:rPr>
            <a:t>TOTAL SUBSCRIPTIONS XBOX GAME PASS</a:t>
          </a:r>
        </a:p>
      </xdr:txBody>
    </xdr:sp>
    <xdr:clientData/>
  </xdr:twoCellAnchor>
  <xdr:twoCellAnchor editAs="absolute">
    <xdr:from>
      <xdr:col>0</xdr:col>
      <xdr:colOff>323850</xdr:colOff>
      <xdr:row>0</xdr:row>
      <xdr:rowOff>57150</xdr:rowOff>
    </xdr:from>
    <xdr:to>
      <xdr:col>0</xdr:col>
      <xdr:colOff>1019175</xdr:colOff>
      <xdr:row>2</xdr:row>
      <xdr:rowOff>72390</xdr:rowOff>
    </xdr:to>
    <xdr:sp macro="" textlink="">
      <xdr:nvSpPr>
        <xdr:cNvPr id="28" name="Elipse 27">
          <a:extLst>
            <a:ext uri="{FF2B5EF4-FFF2-40B4-BE49-F238E27FC236}">
              <a16:creationId xmlns:a16="http://schemas.microsoft.com/office/drawing/2014/main" id="{7EBBCC95-16BD-4098-8394-C2B80758A2B0}"/>
            </a:ext>
          </a:extLst>
        </xdr:cNvPr>
        <xdr:cNvSpPr/>
      </xdr:nvSpPr>
      <xdr:spPr>
        <a:xfrm>
          <a:off x="323850" y="57150"/>
          <a:ext cx="695325" cy="662940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0</xdr:col>
      <xdr:colOff>114300</xdr:colOff>
      <xdr:row>2</xdr:row>
      <xdr:rowOff>133350</xdr:rowOff>
    </xdr:from>
    <xdr:to>
      <xdr:col>0</xdr:col>
      <xdr:colOff>1304925</xdr:colOff>
      <xdr:row>2</xdr:row>
      <xdr:rowOff>371475</xdr:rowOff>
    </xdr:to>
    <xdr:sp macro="" textlink="">
      <xdr:nvSpPr>
        <xdr:cNvPr id="29" name="Retângulo: Cantos Arredondados 28">
          <a:extLst>
            <a:ext uri="{FF2B5EF4-FFF2-40B4-BE49-F238E27FC236}">
              <a16:creationId xmlns:a16="http://schemas.microsoft.com/office/drawing/2014/main" id="{96185878-47A7-F7E1-916B-EE0FD39D3124}"/>
            </a:ext>
          </a:extLst>
        </xdr:cNvPr>
        <xdr:cNvSpPr/>
      </xdr:nvSpPr>
      <xdr:spPr>
        <a:xfrm>
          <a:off x="114300" y="781050"/>
          <a:ext cx="1190625" cy="238125"/>
        </a:xfrm>
        <a:prstGeom prst="roundRect">
          <a:avLst/>
        </a:prstGeom>
        <a:solidFill>
          <a:srgbClr val="22C55E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/>
            <a:t>Bem vinda</a:t>
          </a:r>
          <a:r>
            <a:rPr lang="pt-BR" sz="1100" b="1" baseline="0"/>
            <a:t> Lily</a:t>
          </a:r>
          <a:endParaRPr lang="pt-BR" sz="1100" b="1"/>
        </a:p>
      </xdr:txBody>
    </xdr:sp>
    <xdr:clientData/>
  </xdr:twoCellAnchor>
  <xdr:twoCellAnchor>
    <xdr:from>
      <xdr:col>2</xdr:col>
      <xdr:colOff>219075</xdr:colOff>
      <xdr:row>3</xdr:row>
      <xdr:rowOff>47625</xdr:rowOff>
    </xdr:from>
    <xdr:to>
      <xdr:col>11</xdr:col>
      <xdr:colOff>66675</xdr:colOff>
      <xdr:row>6</xdr:row>
      <xdr:rowOff>19050</xdr:rowOff>
    </xdr:to>
    <xdr:sp macro="" textlink="">
      <xdr:nvSpPr>
        <xdr:cNvPr id="30" name="Retângulo: Cantos Superiores Arredondados 29">
          <a:extLst>
            <a:ext uri="{FF2B5EF4-FFF2-40B4-BE49-F238E27FC236}">
              <a16:creationId xmlns:a16="http://schemas.microsoft.com/office/drawing/2014/main" id="{1C0DF6AC-6D8C-B40E-B675-5861C7CD3366}"/>
            </a:ext>
          </a:extLst>
        </xdr:cNvPr>
        <xdr:cNvSpPr/>
      </xdr:nvSpPr>
      <xdr:spPr>
        <a:xfrm>
          <a:off x="1838325" y="1162050"/>
          <a:ext cx="5334000" cy="295275"/>
        </a:xfrm>
        <a:prstGeom prst="round2SameRect">
          <a:avLst>
            <a:gd name="adj1" fmla="val 16667"/>
            <a:gd name="adj2" fmla="val 0"/>
          </a:avLst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i="1">
              <a:solidFill>
                <a:schemeClr val="accent1">
                  <a:lumMod val="50000"/>
                </a:schemeClr>
              </a:solidFill>
            </a:rPr>
            <a:t>Periodo de apuração:</a:t>
          </a:r>
          <a:r>
            <a:rPr lang="pt-BR" sz="1200" i="1" baseline="0">
              <a:solidFill>
                <a:schemeClr val="accent1">
                  <a:lumMod val="50000"/>
                </a:schemeClr>
              </a:solidFill>
            </a:rPr>
            <a:t> 01/01/2026 - 31/12/2026 | Update  date: 25/12/2026 09:00:00</a:t>
          </a:r>
          <a:endParaRPr lang="pt-BR" sz="1200" i="1">
            <a:solidFill>
              <a:schemeClr val="accent1">
                <a:lumMod val="50000"/>
              </a:schemeClr>
            </a:solidFill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duardo Salino" refreshedDate="46062.805610416668" createdVersion="8" refreshedVersion="8" minRefreshableVersion="3" recordCount="295" xr:uid="{513FAE4D-2438-48AC-9AB2-D2934C529A85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71316920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Yes"/>
    <x v="0"/>
    <s v="Yes"/>
    <n v="20"/>
    <n v="5"/>
    <n v="60"/>
  </r>
  <r>
    <n v="3232"/>
    <x v="1"/>
    <x v="1"/>
    <d v="2024-01-15T00:00:00"/>
    <x v="1"/>
    <n v="5"/>
    <x v="1"/>
    <s v="No"/>
    <x v="1"/>
    <s v="No"/>
    <n v="0"/>
    <n v="0"/>
    <n v="5"/>
  </r>
  <r>
    <n v="3233"/>
    <x v="2"/>
    <x v="2"/>
    <d v="2024-02-10T00:00:00"/>
    <x v="0"/>
    <n v="10"/>
    <x v="2"/>
    <s v="No"/>
    <x v="1"/>
    <s v="Yes"/>
    <n v="20"/>
    <n v="10"/>
    <n v="20"/>
  </r>
  <r>
    <n v="3234"/>
    <x v="3"/>
    <x v="0"/>
    <d v="2024-02-20T00:00:00"/>
    <x v="1"/>
    <n v="15"/>
    <x v="0"/>
    <s v="Yes"/>
    <x v="0"/>
    <s v="Yes"/>
    <n v="20"/>
    <n v="3"/>
    <n v="62"/>
  </r>
  <r>
    <n v="3235"/>
    <x v="4"/>
    <x v="1"/>
    <d v="2024-03-05T00:00:00"/>
    <x v="0"/>
    <n v="5"/>
    <x v="0"/>
    <s v="No"/>
    <x v="1"/>
    <s v="No"/>
    <n v="0"/>
    <n v="1"/>
    <n v="4"/>
  </r>
  <r>
    <n v="3236"/>
    <x v="5"/>
    <x v="2"/>
    <d v="2024-03-02T00:00:00"/>
    <x v="1"/>
    <n v="10"/>
    <x v="0"/>
    <s v="No"/>
    <x v="1"/>
    <s v="Yes"/>
    <n v="20"/>
    <n v="2"/>
    <n v="28"/>
  </r>
  <r>
    <n v="3237"/>
    <x v="6"/>
    <x v="0"/>
    <d v="2024-03-03T00:00:00"/>
    <x v="0"/>
    <n v="15"/>
    <x v="2"/>
    <s v="Yes"/>
    <x v="0"/>
    <s v="Yes"/>
    <n v="20"/>
    <n v="10"/>
    <n v="55"/>
  </r>
  <r>
    <n v="3238"/>
    <x v="7"/>
    <x v="1"/>
    <d v="2024-03-04T00:00:00"/>
    <x v="0"/>
    <n v="5"/>
    <x v="1"/>
    <s v="No"/>
    <x v="1"/>
    <s v="No"/>
    <n v="0"/>
    <n v="0"/>
    <n v="5"/>
  </r>
  <r>
    <n v="3239"/>
    <x v="8"/>
    <x v="0"/>
    <d v="2024-03-05T00:00:00"/>
    <x v="1"/>
    <n v="15"/>
    <x v="0"/>
    <s v="Yes"/>
    <x v="0"/>
    <s v="Yes"/>
    <n v="20"/>
    <n v="5"/>
    <n v="60"/>
  </r>
  <r>
    <n v="3240"/>
    <x v="9"/>
    <x v="2"/>
    <d v="2024-03-06T00:00:00"/>
    <x v="0"/>
    <n v="10"/>
    <x v="2"/>
    <s v="No"/>
    <x v="1"/>
    <s v="Yes"/>
    <n v="20"/>
    <n v="15"/>
    <n v="15"/>
  </r>
  <r>
    <n v="3241"/>
    <x v="10"/>
    <x v="1"/>
    <d v="2024-03-07T00:00:00"/>
    <x v="1"/>
    <n v="5"/>
    <x v="0"/>
    <s v="No"/>
    <x v="1"/>
    <s v="No"/>
    <n v="0"/>
    <n v="1"/>
    <n v="4"/>
  </r>
  <r>
    <n v="3242"/>
    <x v="11"/>
    <x v="0"/>
    <d v="2024-03-08T00:00:00"/>
    <x v="0"/>
    <n v="15"/>
    <x v="1"/>
    <s v="Yes"/>
    <x v="0"/>
    <s v="Yes"/>
    <n v="20"/>
    <n v="20"/>
    <n v="45"/>
  </r>
  <r>
    <n v="3243"/>
    <x v="12"/>
    <x v="2"/>
    <d v="2024-03-09T00:00:00"/>
    <x v="1"/>
    <n v="10"/>
    <x v="0"/>
    <s v="No"/>
    <x v="1"/>
    <s v="Yes"/>
    <n v="20"/>
    <n v="10"/>
    <n v="20"/>
  </r>
  <r>
    <n v="3244"/>
    <x v="13"/>
    <x v="1"/>
    <d v="2024-03-10T00:00:00"/>
    <x v="0"/>
    <n v="5"/>
    <x v="2"/>
    <s v="No"/>
    <x v="1"/>
    <s v="No"/>
    <n v="0"/>
    <n v="0"/>
    <n v="5"/>
  </r>
  <r>
    <n v="3245"/>
    <x v="14"/>
    <x v="0"/>
    <d v="2024-03-11T00:00:00"/>
    <x v="1"/>
    <n v="15"/>
    <x v="0"/>
    <s v="Yes"/>
    <x v="0"/>
    <s v="Yes"/>
    <n v="20"/>
    <n v="8"/>
    <n v="57"/>
  </r>
  <r>
    <n v="3246"/>
    <x v="15"/>
    <x v="2"/>
    <d v="2024-03-12T00:00:00"/>
    <x v="0"/>
    <n v="10"/>
    <x v="1"/>
    <s v="No"/>
    <x v="1"/>
    <s v="Yes"/>
    <n v="20"/>
    <n v="12"/>
    <n v="18"/>
  </r>
  <r>
    <n v="3247"/>
    <x v="16"/>
    <x v="1"/>
    <d v="2024-03-13T00:00:00"/>
    <x v="1"/>
    <n v="5"/>
    <x v="0"/>
    <s v="No"/>
    <x v="1"/>
    <s v="No"/>
    <n v="0"/>
    <n v="2"/>
    <n v="3"/>
  </r>
  <r>
    <n v="3248"/>
    <x v="17"/>
    <x v="0"/>
    <d v="2024-03-14T00:00:00"/>
    <x v="0"/>
    <n v="15"/>
    <x v="2"/>
    <s v="Yes"/>
    <x v="0"/>
    <s v="Yes"/>
    <n v="20"/>
    <n v="7"/>
    <n v="58"/>
  </r>
  <r>
    <n v="3249"/>
    <x v="18"/>
    <x v="2"/>
    <d v="2024-03-15T00:00:00"/>
    <x v="1"/>
    <n v="10"/>
    <x v="0"/>
    <s v="No"/>
    <x v="1"/>
    <s v="Yes"/>
    <n v="20"/>
    <n v="5"/>
    <n v="25"/>
  </r>
  <r>
    <n v="3250"/>
    <x v="19"/>
    <x v="1"/>
    <d v="2024-03-16T00:00:00"/>
    <x v="0"/>
    <n v="5"/>
    <x v="1"/>
    <s v="No"/>
    <x v="1"/>
    <s v="No"/>
    <n v="0"/>
    <n v="0"/>
    <n v="5"/>
  </r>
  <r>
    <n v="3251"/>
    <x v="20"/>
    <x v="0"/>
    <d v="2024-03-17T00:00:00"/>
    <x v="1"/>
    <n v="15"/>
    <x v="0"/>
    <s v="Yes"/>
    <x v="0"/>
    <s v="Yes"/>
    <n v="20"/>
    <n v="3"/>
    <n v="62"/>
  </r>
  <r>
    <n v="3252"/>
    <x v="21"/>
    <x v="2"/>
    <d v="2024-03-18T00:00:00"/>
    <x v="0"/>
    <n v="10"/>
    <x v="2"/>
    <s v="No"/>
    <x v="1"/>
    <s v="Yes"/>
    <n v="20"/>
    <n v="15"/>
    <n v="15"/>
  </r>
  <r>
    <n v="3253"/>
    <x v="22"/>
    <x v="1"/>
    <d v="2024-03-19T00:00:00"/>
    <x v="1"/>
    <n v="5"/>
    <x v="0"/>
    <s v="No"/>
    <x v="1"/>
    <s v="No"/>
    <n v="0"/>
    <n v="1"/>
    <n v="4"/>
  </r>
  <r>
    <n v="3254"/>
    <x v="23"/>
    <x v="0"/>
    <d v="2024-03-20T00:00:00"/>
    <x v="0"/>
    <n v="15"/>
    <x v="1"/>
    <s v="Yes"/>
    <x v="0"/>
    <s v="Yes"/>
    <n v="20"/>
    <n v="20"/>
    <n v="45"/>
  </r>
  <r>
    <n v="3255"/>
    <x v="24"/>
    <x v="2"/>
    <d v="2024-03-21T00:00:00"/>
    <x v="1"/>
    <n v="10"/>
    <x v="0"/>
    <s v="No"/>
    <x v="1"/>
    <s v="Yes"/>
    <n v="20"/>
    <n v="10"/>
    <n v="20"/>
  </r>
  <r>
    <n v="3256"/>
    <x v="25"/>
    <x v="1"/>
    <d v="2024-03-22T00:00:00"/>
    <x v="0"/>
    <n v="5"/>
    <x v="2"/>
    <s v="No"/>
    <x v="1"/>
    <s v="No"/>
    <n v="0"/>
    <n v="0"/>
    <n v="5"/>
  </r>
  <r>
    <n v="3257"/>
    <x v="26"/>
    <x v="0"/>
    <d v="2024-03-23T00:00:00"/>
    <x v="1"/>
    <n v="15"/>
    <x v="0"/>
    <s v="Yes"/>
    <x v="0"/>
    <s v="Yes"/>
    <n v="20"/>
    <n v="5"/>
    <n v="60"/>
  </r>
  <r>
    <n v="3258"/>
    <x v="27"/>
    <x v="2"/>
    <d v="2024-03-24T00:00:00"/>
    <x v="0"/>
    <n v="10"/>
    <x v="1"/>
    <s v="No"/>
    <x v="1"/>
    <s v="Yes"/>
    <n v="20"/>
    <n v="15"/>
    <n v="15"/>
  </r>
  <r>
    <n v="3259"/>
    <x v="28"/>
    <x v="1"/>
    <d v="2024-03-25T00:00:00"/>
    <x v="1"/>
    <n v="5"/>
    <x v="0"/>
    <s v="No"/>
    <x v="1"/>
    <s v="No"/>
    <n v="0"/>
    <n v="1"/>
    <n v="4"/>
  </r>
  <r>
    <n v="3260"/>
    <x v="29"/>
    <x v="0"/>
    <d v="2024-03-26T00:00:00"/>
    <x v="0"/>
    <n v="15"/>
    <x v="2"/>
    <s v="Yes"/>
    <x v="0"/>
    <s v="Yes"/>
    <n v="20"/>
    <n v="7"/>
    <n v="58"/>
  </r>
  <r>
    <n v="3261"/>
    <x v="30"/>
    <x v="2"/>
    <d v="2024-03-27T00:00:00"/>
    <x v="1"/>
    <n v="10"/>
    <x v="0"/>
    <s v="No"/>
    <x v="1"/>
    <s v="Yes"/>
    <n v="20"/>
    <n v="10"/>
    <n v="20"/>
  </r>
  <r>
    <n v="3262"/>
    <x v="31"/>
    <x v="1"/>
    <d v="2024-03-28T00:00:00"/>
    <x v="0"/>
    <n v="5"/>
    <x v="1"/>
    <s v="No"/>
    <x v="1"/>
    <s v="No"/>
    <n v="0"/>
    <n v="0"/>
    <n v="5"/>
  </r>
  <r>
    <n v="3263"/>
    <x v="32"/>
    <x v="0"/>
    <d v="2024-03-29T00:00:00"/>
    <x v="1"/>
    <n v="15"/>
    <x v="0"/>
    <s v="Yes"/>
    <x v="0"/>
    <s v="Yes"/>
    <n v="20"/>
    <n v="3"/>
    <n v="62"/>
  </r>
  <r>
    <n v="3264"/>
    <x v="33"/>
    <x v="2"/>
    <d v="2024-03-30T00:00:00"/>
    <x v="0"/>
    <n v="10"/>
    <x v="2"/>
    <s v="No"/>
    <x v="1"/>
    <s v="Yes"/>
    <n v="20"/>
    <n v="15"/>
    <n v="15"/>
  </r>
  <r>
    <n v="3265"/>
    <x v="34"/>
    <x v="1"/>
    <d v="2024-03-31T00:00:00"/>
    <x v="1"/>
    <n v="5"/>
    <x v="0"/>
    <s v="No"/>
    <x v="1"/>
    <s v="No"/>
    <n v="0"/>
    <n v="1"/>
    <n v="4"/>
  </r>
  <r>
    <n v="3266"/>
    <x v="35"/>
    <x v="1"/>
    <d v="2024-04-01T00:00:00"/>
    <x v="0"/>
    <n v="5"/>
    <x v="0"/>
    <s v="No"/>
    <x v="1"/>
    <s v="No"/>
    <n v="0"/>
    <n v="0"/>
    <n v="5"/>
  </r>
  <r>
    <n v="3267"/>
    <x v="36"/>
    <x v="0"/>
    <d v="2024-04-02T00:00:00"/>
    <x v="1"/>
    <n v="15"/>
    <x v="2"/>
    <s v="Yes"/>
    <x v="0"/>
    <s v="Yes"/>
    <n v="20"/>
    <n v="7"/>
    <n v="58"/>
  </r>
  <r>
    <n v="3268"/>
    <x v="37"/>
    <x v="2"/>
    <d v="2024-04-03T00:00:00"/>
    <x v="0"/>
    <n v="10"/>
    <x v="1"/>
    <s v="No"/>
    <x v="1"/>
    <s v="Yes"/>
    <n v="20"/>
    <n v="10"/>
    <n v="20"/>
  </r>
  <r>
    <n v="3269"/>
    <x v="38"/>
    <x v="1"/>
    <d v="2024-04-04T00:00:00"/>
    <x v="1"/>
    <n v="5"/>
    <x v="2"/>
    <s v="No"/>
    <x v="1"/>
    <s v="No"/>
    <n v="0"/>
    <n v="1"/>
    <n v="4"/>
  </r>
  <r>
    <n v="3270"/>
    <x v="39"/>
    <x v="0"/>
    <d v="2024-04-05T00:00:00"/>
    <x v="0"/>
    <n v="15"/>
    <x v="0"/>
    <s v="Yes"/>
    <x v="0"/>
    <s v="Yes"/>
    <n v="20"/>
    <n v="15"/>
    <n v="50"/>
  </r>
  <r>
    <n v="3271"/>
    <x v="40"/>
    <x v="2"/>
    <d v="2024-04-06T00:00:00"/>
    <x v="1"/>
    <n v="10"/>
    <x v="0"/>
    <s v="No"/>
    <x v="1"/>
    <s v="Yes"/>
    <n v="20"/>
    <n v="5"/>
    <n v="25"/>
  </r>
  <r>
    <n v="3272"/>
    <x v="41"/>
    <x v="1"/>
    <d v="2024-04-07T00:00:00"/>
    <x v="0"/>
    <n v="5"/>
    <x v="1"/>
    <s v="No"/>
    <x v="1"/>
    <s v="No"/>
    <n v="0"/>
    <n v="0"/>
    <n v="5"/>
  </r>
  <r>
    <n v="3273"/>
    <x v="42"/>
    <x v="0"/>
    <d v="2024-04-08T00:00:00"/>
    <x v="1"/>
    <n v="15"/>
    <x v="2"/>
    <s v="Yes"/>
    <x v="0"/>
    <s v="Yes"/>
    <n v="20"/>
    <n v="20"/>
    <n v="45"/>
  </r>
  <r>
    <n v="3274"/>
    <x v="43"/>
    <x v="2"/>
    <d v="2024-04-09T00:00:00"/>
    <x v="0"/>
    <n v="10"/>
    <x v="2"/>
    <s v="No"/>
    <x v="1"/>
    <s v="Yes"/>
    <n v="20"/>
    <n v="12"/>
    <n v="18"/>
  </r>
  <r>
    <n v="3275"/>
    <x v="44"/>
    <x v="1"/>
    <d v="2024-04-10T00:00:00"/>
    <x v="1"/>
    <n v="5"/>
    <x v="0"/>
    <s v="No"/>
    <x v="1"/>
    <s v="No"/>
    <n v="0"/>
    <n v="2"/>
    <n v="3"/>
  </r>
  <r>
    <n v="3276"/>
    <x v="45"/>
    <x v="0"/>
    <d v="2024-04-11T00:00:00"/>
    <x v="0"/>
    <n v="15"/>
    <x v="1"/>
    <s v="Yes"/>
    <x v="0"/>
    <s v="Yes"/>
    <n v="20"/>
    <n v="5"/>
    <n v="60"/>
  </r>
  <r>
    <n v="3277"/>
    <x v="46"/>
    <x v="2"/>
    <d v="2024-04-12T00:00:00"/>
    <x v="1"/>
    <n v="10"/>
    <x v="0"/>
    <s v="No"/>
    <x v="1"/>
    <s v="Yes"/>
    <n v="20"/>
    <n v="10"/>
    <n v="20"/>
  </r>
  <r>
    <n v="3278"/>
    <x v="47"/>
    <x v="1"/>
    <d v="2024-04-13T00:00:00"/>
    <x v="0"/>
    <n v="5"/>
    <x v="2"/>
    <s v="No"/>
    <x v="1"/>
    <s v="No"/>
    <n v="0"/>
    <n v="0"/>
    <n v="5"/>
  </r>
  <r>
    <n v="3279"/>
    <x v="48"/>
    <x v="0"/>
    <d v="2024-04-14T00:00:00"/>
    <x v="1"/>
    <n v="15"/>
    <x v="0"/>
    <s v="Yes"/>
    <x v="0"/>
    <s v="Yes"/>
    <n v="20"/>
    <n v="3"/>
    <n v="62"/>
  </r>
  <r>
    <n v="3280"/>
    <x v="49"/>
    <x v="2"/>
    <d v="2024-04-15T00:00:00"/>
    <x v="0"/>
    <n v="10"/>
    <x v="1"/>
    <s v="No"/>
    <x v="1"/>
    <s v="Yes"/>
    <n v="20"/>
    <n v="15"/>
    <n v="15"/>
  </r>
  <r>
    <n v="3281"/>
    <x v="50"/>
    <x v="1"/>
    <d v="2024-04-16T00:00:00"/>
    <x v="1"/>
    <n v="5"/>
    <x v="0"/>
    <s v="No"/>
    <x v="1"/>
    <s v="No"/>
    <n v="0"/>
    <n v="1"/>
    <n v="4"/>
  </r>
  <r>
    <n v="3282"/>
    <x v="51"/>
    <x v="0"/>
    <d v="2024-04-17T00:00:00"/>
    <x v="0"/>
    <n v="15"/>
    <x v="2"/>
    <s v="Yes"/>
    <x v="0"/>
    <s v="Yes"/>
    <n v="20"/>
    <n v="7"/>
    <n v="58"/>
  </r>
  <r>
    <n v="3283"/>
    <x v="52"/>
    <x v="2"/>
    <d v="2024-04-18T00:00:00"/>
    <x v="1"/>
    <n v="10"/>
    <x v="0"/>
    <s v="No"/>
    <x v="1"/>
    <s v="Yes"/>
    <n v="20"/>
    <n v="10"/>
    <n v="20"/>
  </r>
  <r>
    <n v="3284"/>
    <x v="53"/>
    <x v="1"/>
    <d v="2024-04-19T00:00:00"/>
    <x v="0"/>
    <n v="5"/>
    <x v="1"/>
    <s v="No"/>
    <x v="1"/>
    <s v="No"/>
    <n v="0"/>
    <n v="0"/>
    <n v="5"/>
  </r>
  <r>
    <n v="3285"/>
    <x v="54"/>
    <x v="0"/>
    <d v="2024-04-20T00:00:00"/>
    <x v="1"/>
    <n v="15"/>
    <x v="0"/>
    <s v="Yes"/>
    <x v="0"/>
    <s v="Yes"/>
    <n v="20"/>
    <n v="20"/>
    <n v="45"/>
  </r>
  <r>
    <n v="3286"/>
    <x v="55"/>
    <x v="2"/>
    <d v="2024-04-21T00:00:00"/>
    <x v="0"/>
    <n v="10"/>
    <x v="2"/>
    <s v="No"/>
    <x v="1"/>
    <s v="Yes"/>
    <n v="20"/>
    <n v="15"/>
    <n v="15"/>
  </r>
  <r>
    <n v="3287"/>
    <x v="56"/>
    <x v="1"/>
    <d v="2024-04-22T00:00:00"/>
    <x v="1"/>
    <n v="5"/>
    <x v="0"/>
    <s v="No"/>
    <x v="1"/>
    <s v="No"/>
    <n v="0"/>
    <n v="1"/>
    <n v="4"/>
  </r>
  <r>
    <n v="3288"/>
    <x v="57"/>
    <x v="0"/>
    <d v="2024-04-23T00:00:00"/>
    <x v="0"/>
    <n v="15"/>
    <x v="1"/>
    <s v="Yes"/>
    <x v="0"/>
    <s v="Yes"/>
    <n v="20"/>
    <n v="3"/>
    <n v="62"/>
  </r>
  <r>
    <n v="3289"/>
    <x v="58"/>
    <x v="2"/>
    <d v="2024-04-24T00:00:00"/>
    <x v="1"/>
    <n v="10"/>
    <x v="0"/>
    <s v="No"/>
    <x v="1"/>
    <s v="Yes"/>
    <n v="20"/>
    <n v="10"/>
    <n v="20"/>
  </r>
  <r>
    <n v="3290"/>
    <x v="59"/>
    <x v="1"/>
    <d v="2024-04-25T00:00:00"/>
    <x v="0"/>
    <n v="5"/>
    <x v="2"/>
    <s v="No"/>
    <x v="1"/>
    <s v="No"/>
    <n v="0"/>
    <n v="0"/>
    <n v="5"/>
  </r>
  <r>
    <n v="3291"/>
    <x v="60"/>
    <x v="0"/>
    <d v="2024-04-26T00:00:00"/>
    <x v="1"/>
    <n v="15"/>
    <x v="0"/>
    <s v="Yes"/>
    <x v="0"/>
    <s v="Yes"/>
    <n v="20"/>
    <n v="5"/>
    <n v="60"/>
  </r>
  <r>
    <n v="3292"/>
    <x v="61"/>
    <x v="2"/>
    <d v="2024-04-27T00:00:00"/>
    <x v="0"/>
    <n v="10"/>
    <x v="1"/>
    <s v="No"/>
    <x v="1"/>
    <s v="Yes"/>
    <n v="20"/>
    <n v="15"/>
    <n v="15"/>
  </r>
  <r>
    <n v="3293"/>
    <x v="62"/>
    <x v="1"/>
    <d v="2024-04-28T00:00:00"/>
    <x v="1"/>
    <n v="5"/>
    <x v="0"/>
    <s v="No"/>
    <x v="1"/>
    <s v="No"/>
    <n v="0"/>
    <n v="1"/>
    <n v="4"/>
  </r>
  <r>
    <n v="3294"/>
    <x v="63"/>
    <x v="0"/>
    <d v="2024-04-29T00:00:00"/>
    <x v="0"/>
    <n v="15"/>
    <x v="2"/>
    <s v="Yes"/>
    <x v="0"/>
    <s v="Yes"/>
    <n v="20"/>
    <n v="20"/>
    <n v="45"/>
  </r>
  <r>
    <n v="3295"/>
    <x v="64"/>
    <x v="2"/>
    <d v="2024-04-30T00:00:00"/>
    <x v="1"/>
    <n v="10"/>
    <x v="0"/>
    <s v="No"/>
    <x v="1"/>
    <s v="Yes"/>
    <n v="20"/>
    <n v="5"/>
    <n v="25"/>
  </r>
  <r>
    <n v="3296"/>
    <x v="65"/>
    <x v="1"/>
    <d v="2024-05-01T00:00:00"/>
    <x v="1"/>
    <n v="5"/>
    <x v="0"/>
    <s v="No"/>
    <x v="1"/>
    <s v="No"/>
    <n v="0"/>
    <n v="0"/>
    <n v="5"/>
  </r>
  <r>
    <n v="3297"/>
    <x v="66"/>
    <x v="0"/>
    <d v="2024-05-02T00:00:00"/>
    <x v="0"/>
    <n v="15"/>
    <x v="2"/>
    <s v="Yes"/>
    <x v="0"/>
    <s v="Yes"/>
    <n v="20"/>
    <n v="7"/>
    <n v="58"/>
  </r>
  <r>
    <n v="3298"/>
    <x v="67"/>
    <x v="2"/>
    <d v="2024-05-03T00:00:00"/>
    <x v="1"/>
    <n v="10"/>
    <x v="1"/>
    <s v="No"/>
    <x v="1"/>
    <s v="Yes"/>
    <n v="20"/>
    <n v="10"/>
    <n v="20"/>
  </r>
  <r>
    <n v="3299"/>
    <x v="68"/>
    <x v="1"/>
    <d v="2024-05-04T00:00:00"/>
    <x v="0"/>
    <n v="5"/>
    <x v="2"/>
    <s v="No"/>
    <x v="1"/>
    <s v="No"/>
    <n v="0"/>
    <n v="1"/>
    <n v="4"/>
  </r>
  <r>
    <n v="3300"/>
    <x v="69"/>
    <x v="0"/>
    <d v="2024-05-05T00:00:00"/>
    <x v="1"/>
    <n v="15"/>
    <x v="0"/>
    <s v="Yes"/>
    <x v="0"/>
    <s v="Yes"/>
    <n v="20"/>
    <n v="15"/>
    <n v="50"/>
  </r>
  <r>
    <n v="3301"/>
    <x v="70"/>
    <x v="2"/>
    <d v="2024-05-06T00:00:00"/>
    <x v="0"/>
    <n v="10"/>
    <x v="0"/>
    <s v="No"/>
    <x v="1"/>
    <s v="Yes"/>
    <n v="20"/>
    <n v="5"/>
    <n v="25"/>
  </r>
  <r>
    <n v="3302"/>
    <x v="71"/>
    <x v="1"/>
    <d v="2024-05-07T00:00:00"/>
    <x v="1"/>
    <n v="5"/>
    <x v="1"/>
    <s v="No"/>
    <x v="1"/>
    <s v="No"/>
    <n v="0"/>
    <n v="0"/>
    <n v="5"/>
  </r>
  <r>
    <n v="3303"/>
    <x v="72"/>
    <x v="0"/>
    <d v="2024-05-08T00:00:00"/>
    <x v="0"/>
    <n v="15"/>
    <x v="2"/>
    <s v="Yes"/>
    <x v="0"/>
    <s v="Yes"/>
    <n v="20"/>
    <n v="20"/>
    <n v="45"/>
  </r>
  <r>
    <n v="3304"/>
    <x v="73"/>
    <x v="2"/>
    <d v="2024-05-09T00:00:00"/>
    <x v="1"/>
    <n v="10"/>
    <x v="2"/>
    <s v="No"/>
    <x v="1"/>
    <s v="Yes"/>
    <n v="20"/>
    <n v="12"/>
    <n v="18"/>
  </r>
  <r>
    <n v="3305"/>
    <x v="74"/>
    <x v="1"/>
    <d v="2024-05-10T00:00:00"/>
    <x v="0"/>
    <n v="5"/>
    <x v="0"/>
    <s v="No"/>
    <x v="1"/>
    <s v="No"/>
    <n v="0"/>
    <n v="2"/>
    <n v="3"/>
  </r>
  <r>
    <n v="3306"/>
    <x v="75"/>
    <x v="0"/>
    <d v="2024-05-11T00:00:00"/>
    <x v="1"/>
    <n v="15"/>
    <x v="1"/>
    <s v="Yes"/>
    <x v="0"/>
    <s v="Yes"/>
    <n v="20"/>
    <n v="5"/>
    <n v="60"/>
  </r>
  <r>
    <n v="3307"/>
    <x v="76"/>
    <x v="2"/>
    <d v="2024-05-12T00:00:00"/>
    <x v="0"/>
    <n v="10"/>
    <x v="0"/>
    <s v="No"/>
    <x v="1"/>
    <s v="Yes"/>
    <n v="20"/>
    <n v="10"/>
    <n v="20"/>
  </r>
  <r>
    <n v="3308"/>
    <x v="77"/>
    <x v="1"/>
    <d v="2024-05-13T00:00:00"/>
    <x v="1"/>
    <n v="5"/>
    <x v="2"/>
    <s v="No"/>
    <x v="1"/>
    <s v="No"/>
    <n v="0"/>
    <n v="0"/>
    <n v="5"/>
  </r>
  <r>
    <n v="3309"/>
    <x v="78"/>
    <x v="0"/>
    <d v="2024-05-14T00:00:00"/>
    <x v="0"/>
    <n v="15"/>
    <x v="0"/>
    <s v="Yes"/>
    <x v="0"/>
    <s v="Yes"/>
    <n v="20"/>
    <n v="3"/>
    <n v="62"/>
  </r>
  <r>
    <n v="3310"/>
    <x v="79"/>
    <x v="2"/>
    <d v="2024-05-15T00:00:00"/>
    <x v="1"/>
    <n v="10"/>
    <x v="1"/>
    <s v="No"/>
    <x v="1"/>
    <s v="Yes"/>
    <n v="20"/>
    <n v="15"/>
    <n v="15"/>
  </r>
  <r>
    <n v="3311"/>
    <x v="80"/>
    <x v="1"/>
    <d v="2024-05-16T00:00:00"/>
    <x v="0"/>
    <n v="5"/>
    <x v="0"/>
    <s v="No"/>
    <x v="1"/>
    <s v="No"/>
    <n v="0"/>
    <n v="1"/>
    <n v="4"/>
  </r>
  <r>
    <n v="3312"/>
    <x v="81"/>
    <x v="0"/>
    <d v="2024-05-17T00:00:00"/>
    <x v="1"/>
    <n v="15"/>
    <x v="2"/>
    <s v="Yes"/>
    <x v="0"/>
    <s v="Yes"/>
    <n v="20"/>
    <n v="7"/>
    <n v="58"/>
  </r>
  <r>
    <n v="3313"/>
    <x v="82"/>
    <x v="2"/>
    <d v="2024-05-18T00:00:00"/>
    <x v="0"/>
    <n v="10"/>
    <x v="0"/>
    <s v="No"/>
    <x v="1"/>
    <s v="Yes"/>
    <n v="20"/>
    <n v="10"/>
    <n v="20"/>
  </r>
  <r>
    <n v="3314"/>
    <x v="83"/>
    <x v="1"/>
    <d v="2024-05-19T00:00:00"/>
    <x v="1"/>
    <n v="5"/>
    <x v="1"/>
    <s v="No"/>
    <x v="1"/>
    <s v="No"/>
    <n v="0"/>
    <n v="0"/>
    <n v="5"/>
  </r>
  <r>
    <n v="3315"/>
    <x v="84"/>
    <x v="0"/>
    <d v="2024-05-20T00:00:00"/>
    <x v="0"/>
    <n v="15"/>
    <x v="0"/>
    <s v="Yes"/>
    <x v="0"/>
    <s v="Yes"/>
    <n v="20"/>
    <n v="20"/>
    <n v="45"/>
  </r>
  <r>
    <n v="3316"/>
    <x v="85"/>
    <x v="2"/>
    <d v="2024-05-21T00:00:00"/>
    <x v="1"/>
    <n v="10"/>
    <x v="2"/>
    <s v="No"/>
    <x v="1"/>
    <s v="Yes"/>
    <n v="20"/>
    <n v="15"/>
    <n v="15"/>
  </r>
  <r>
    <n v="3317"/>
    <x v="86"/>
    <x v="1"/>
    <d v="2024-05-22T00:00:00"/>
    <x v="0"/>
    <n v="5"/>
    <x v="0"/>
    <s v="No"/>
    <x v="1"/>
    <s v="No"/>
    <n v="0"/>
    <n v="1"/>
    <n v="4"/>
  </r>
  <r>
    <n v="3318"/>
    <x v="87"/>
    <x v="0"/>
    <d v="2024-05-23T00:00:00"/>
    <x v="1"/>
    <n v="15"/>
    <x v="1"/>
    <s v="Yes"/>
    <x v="0"/>
    <s v="Yes"/>
    <n v="20"/>
    <n v="3"/>
    <n v="62"/>
  </r>
  <r>
    <n v="3319"/>
    <x v="88"/>
    <x v="2"/>
    <d v="2024-05-24T00:00:00"/>
    <x v="0"/>
    <n v="10"/>
    <x v="0"/>
    <s v="No"/>
    <x v="1"/>
    <s v="Yes"/>
    <n v="20"/>
    <n v="10"/>
    <n v="20"/>
  </r>
  <r>
    <n v="3320"/>
    <x v="89"/>
    <x v="1"/>
    <d v="2024-05-25T00:00:00"/>
    <x v="1"/>
    <n v="5"/>
    <x v="2"/>
    <s v="No"/>
    <x v="1"/>
    <s v="No"/>
    <n v="0"/>
    <n v="0"/>
    <n v="5"/>
  </r>
  <r>
    <n v="3321"/>
    <x v="90"/>
    <x v="0"/>
    <d v="2024-05-26T00:00:00"/>
    <x v="0"/>
    <n v="15"/>
    <x v="0"/>
    <s v="Yes"/>
    <x v="0"/>
    <s v="Yes"/>
    <n v="20"/>
    <n v="5"/>
    <n v="60"/>
  </r>
  <r>
    <n v="3322"/>
    <x v="91"/>
    <x v="2"/>
    <d v="2024-05-27T00:00:00"/>
    <x v="1"/>
    <n v="10"/>
    <x v="1"/>
    <s v="No"/>
    <x v="1"/>
    <s v="Yes"/>
    <n v="20"/>
    <n v="15"/>
    <n v="15"/>
  </r>
  <r>
    <n v="3323"/>
    <x v="92"/>
    <x v="1"/>
    <d v="2024-05-28T00:00:00"/>
    <x v="0"/>
    <n v="5"/>
    <x v="0"/>
    <s v="No"/>
    <x v="1"/>
    <s v="No"/>
    <n v="0"/>
    <n v="1"/>
    <n v="4"/>
  </r>
  <r>
    <n v="3324"/>
    <x v="93"/>
    <x v="0"/>
    <d v="2024-05-29T00:00:00"/>
    <x v="1"/>
    <n v="15"/>
    <x v="2"/>
    <s v="Yes"/>
    <x v="0"/>
    <s v="Yes"/>
    <n v="20"/>
    <n v="20"/>
    <n v="45"/>
  </r>
  <r>
    <n v="3325"/>
    <x v="94"/>
    <x v="2"/>
    <d v="2024-05-30T00:00:00"/>
    <x v="0"/>
    <n v="10"/>
    <x v="2"/>
    <s v="No"/>
    <x v="1"/>
    <s v="Yes"/>
    <n v="20"/>
    <n v="15"/>
    <n v="15"/>
  </r>
  <r>
    <n v="3326"/>
    <x v="95"/>
    <x v="1"/>
    <d v="2024-05-31T00:00:00"/>
    <x v="1"/>
    <n v="5"/>
    <x v="1"/>
    <s v="No"/>
    <x v="1"/>
    <s v="No"/>
    <n v="0"/>
    <n v="0"/>
    <n v="5"/>
  </r>
  <r>
    <n v="3327"/>
    <x v="96"/>
    <x v="0"/>
    <d v="2024-06-01T00:00:00"/>
    <x v="0"/>
    <n v="15"/>
    <x v="0"/>
    <s v="Yes"/>
    <x v="0"/>
    <s v="Yes"/>
    <n v="20"/>
    <n v="7"/>
    <n v="58"/>
  </r>
  <r>
    <n v="3328"/>
    <x v="97"/>
    <x v="2"/>
    <d v="2024-06-02T00:00:00"/>
    <x v="1"/>
    <n v="10"/>
    <x v="1"/>
    <s v="No"/>
    <x v="1"/>
    <s v="Yes"/>
    <n v="20"/>
    <n v="10"/>
    <n v="20"/>
  </r>
  <r>
    <n v="3329"/>
    <x v="98"/>
    <x v="1"/>
    <d v="2024-06-03T00:00:00"/>
    <x v="0"/>
    <n v="5"/>
    <x v="2"/>
    <s v="No"/>
    <x v="1"/>
    <s v="No"/>
    <n v="0"/>
    <n v="1"/>
    <n v="4"/>
  </r>
  <r>
    <n v="3330"/>
    <x v="99"/>
    <x v="0"/>
    <d v="2024-06-04T00:00:00"/>
    <x v="1"/>
    <n v="15"/>
    <x v="0"/>
    <s v="Yes"/>
    <x v="0"/>
    <s v="Yes"/>
    <n v="20"/>
    <n v="15"/>
    <n v="50"/>
  </r>
  <r>
    <n v="3331"/>
    <x v="100"/>
    <x v="2"/>
    <d v="2024-06-05T00:00:00"/>
    <x v="0"/>
    <n v="10"/>
    <x v="0"/>
    <s v="No"/>
    <x v="1"/>
    <s v="Yes"/>
    <n v="20"/>
    <n v="5"/>
    <n v="25"/>
  </r>
  <r>
    <n v="3332"/>
    <x v="101"/>
    <x v="1"/>
    <d v="2024-06-06T00:00:00"/>
    <x v="1"/>
    <n v="5"/>
    <x v="1"/>
    <s v="No"/>
    <x v="1"/>
    <s v="No"/>
    <n v="0"/>
    <n v="0"/>
    <n v="5"/>
  </r>
  <r>
    <n v="3333"/>
    <x v="102"/>
    <x v="0"/>
    <d v="2024-06-07T00:00:00"/>
    <x v="0"/>
    <n v="15"/>
    <x v="2"/>
    <s v="Yes"/>
    <x v="0"/>
    <s v="Yes"/>
    <n v="20"/>
    <n v="20"/>
    <n v="45"/>
  </r>
  <r>
    <n v="3334"/>
    <x v="103"/>
    <x v="2"/>
    <d v="2024-06-08T00:00:00"/>
    <x v="1"/>
    <n v="10"/>
    <x v="2"/>
    <s v="No"/>
    <x v="1"/>
    <s v="Yes"/>
    <n v="20"/>
    <n v="12"/>
    <n v="18"/>
  </r>
  <r>
    <n v="3335"/>
    <x v="104"/>
    <x v="1"/>
    <d v="2024-06-09T00:00:00"/>
    <x v="0"/>
    <n v="5"/>
    <x v="0"/>
    <s v="No"/>
    <x v="1"/>
    <s v="No"/>
    <n v="0"/>
    <n v="2"/>
    <n v="3"/>
  </r>
  <r>
    <n v="3336"/>
    <x v="105"/>
    <x v="1"/>
    <d v="2024-06-10T00:00:00"/>
    <x v="0"/>
    <n v="5"/>
    <x v="0"/>
    <s v="No"/>
    <x v="1"/>
    <s v="No"/>
    <n v="0"/>
    <n v="0"/>
    <n v="5"/>
  </r>
  <r>
    <n v="3337"/>
    <x v="106"/>
    <x v="0"/>
    <d v="2024-06-11T00:00:00"/>
    <x v="1"/>
    <n v="15"/>
    <x v="2"/>
    <s v="Yes"/>
    <x v="0"/>
    <s v="Yes"/>
    <n v="20"/>
    <n v="7"/>
    <n v="58"/>
  </r>
  <r>
    <n v="3338"/>
    <x v="107"/>
    <x v="2"/>
    <d v="2024-06-12T00:00:00"/>
    <x v="0"/>
    <n v="10"/>
    <x v="1"/>
    <s v="No"/>
    <x v="1"/>
    <s v="Yes"/>
    <n v="20"/>
    <n v="10"/>
    <n v="20"/>
  </r>
  <r>
    <n v="3339"/>
    <x v="108"/>
    <x v="1"/>
    <d v="2024-06-13T00:00:00"/>
    <x v="1"/>
    <n v="5"/>
    <x v="2"/>
    <s v="No"/>
    <x v="1"/>
    <s v="No"/>
    <n v="0"/>
    <n v="1"/>
    <n v="4"/>
  </r>
  <r>
    <n v="3340"/>
    <x v="109"/>
    <x v="0"/>
    <d v="2024-06-14T00:00:00"/>
    <x v="0"/>
    <n v="15"/>
    <x v="0"/>
    <s v="Yes"/>
    <x v="0"/>
    <s v="Yes"/>
    <n v="20"/>
    <n v="15"/>
    <n v="50"/>
  </r>
  <r>
    <n v="3341"/>
    <x v="110"/>
    <x v="2"/>
    <d v="2024-06-15T00:00:00"/>
    <x v="1"/>
    <n v="10"/>
    <x v="0"/>
    <s v="No"/>
    <x v="1"/>
    <s v="Yes"/>
    <n v="20"/>
    <n v="5"/>
    <n v="25"/>
  </r>
  <r>
    <n v="3342"/>
    <x v="111"/>
    <x v="1"/>
    <d v="2024-06-16T00:00:00"/>
    <x v="0"/>
    <n v="5"/>
    <x v="1"/>
    <s v="No"/>
    <x v="1"/>
    <s v="No"/>
    <n v="0"/>
    <n v="0"/>
    <n v="5"/>
  </r>
  <r>
    <n v="3343"/>
    <x v="112"/>
    <x v="0"/>
    <d v="2024-06-17T00:00:00"/>
    <x v="1"/>
    <n v="15"/>
    <x v="2"/>
    <s v="Yes"/>
    <x v="0"/>
    <s v="Yes"/>
    <n v="20"/>
    <n v="20"/>
    <n v="45"/>
  </r>
  <r>
    <n v="3344"/>
    <x v="113"/>
    <x v="2"/>
    <d v="2024-06-18T00:00:00"/>
    <x v="0"/>
    <n v="10"/>
    <x v="2"/>
    <s v="No"/>
    <x v="1"/>
    <s v="Yes"/>
    <n v="20"/>
    <n v="12"/>
    <n v="18"/>
  </r>
  <r>
    <n v="3345"/>
    <x v="114"/>
    <x v="1"/>
    <d v="2024-06-19T00:00:00"/>
    <x v="1"/>
    <n v="5"/>
    <x v="0"/>
    <s v="No"/>
    <x v="1"/>
    <s v="No"/>
    <n v="0"/>
    <n v="2"/>
    <n v="3"/>
  </r>
  <r>
    <n v="3346"/>
    <x v="115"/>
    <x v="0"/>
    <d v="2024-06-20T00:00:00"/>
    <x v="0"/>
    <n v="15"/>
    <x v="1"/>
    <s v="Yes"/>
    <x v="0"/>
    <s v="Yes"/>
    <n v="20"/>
    <n v="5"/>
    <n v="60"/>
  </r>
  <r>
    <n v="3347"/>
    <x v="116"/>
    <x v="2"/>
    <d v="2024-06-21T00:00:00"/>
    <x v="1"/>
    <n v="10"/>
    <x v="0"/>
    <s v="No"/>
    <x v="1"/>
    <s v="Yes"/>
    <n v="20"/>
    <n v="10"/>
    <n v="20"/>
  </r>
  <r>
    <n v="3348"/>
    <x v="117"/>
    <x v="1"/>
    <d v="2024-06-22T00:00:00"/>
    <x v="0"/>
    <n v="5"/>
    <x v="2"/>
    <s v="No"/>
    <x v="1"/>
    <s v="No"/>
    <n v="0"/>
    <n v="0"/>
    <n v="5"/>
  </r>
  <r>
    <n v="3349"/>
    <x v="93"/>
    <x v="0"/>
    <d v="2024-06-23T00:00:00"/>
    <x v="1"/>
    <n v="15"/>
    <x v="0"/>
    <s v="Yes"/>
    <x v="0"/>
    <s v="Yes"/>
    <n v="20"/>
    <n v="3"/>
    <n v="62"/>
  </r>
  <r>
    <n v="3350"/>
    <x v="118"/>
    <x v="2"/>
    <d v="2024-06-24T00:00:00"/>
    <x v="0"/>
    <n v="10"/>
    <x v="1"/>
    <s v="No"/>
    <x v="1"/>
    <s v="Yes"/>
    <n v="20"/>
    <n v="15"/>
    <n v="15"/>
  </r>
  <r>
    <n v="3351"/>
    <x v="119"/>
    <x v="1"/>
    <d v="2024-06-25T00:00:00"/>
    <x v="1"/>
    <n v="5"/>
    <x v="0"/>
    <s v="No"/>
    <x v="1"/>
    <s v="No"/>
    <n v="0"/>
    <n v="1"/>
    <n v="4"/>
  </r>
  <r>
    <n v="3352"/>
    <x v="120"/>
    <x v="0"/>
    <d v="2024-06-26T00:00:00"/>
    <x v="0"/>
    <n v="15"/>
    <x v="2"/>
    <s v="Yes"/>
    <x v="0"/>
    <s v="Yes"/>
    <n v="20"/>
    <n v="7"/>
    <n v="58"/>
  </r>
  <r>
    <n v="3353"/>
    <x v="121"/>
    <x v="2"/>
    <d v="2024-06-27T00:00:00"/>
    <x v="1"/>
    <n v="10"/>
    <x v="0"/>
    <s v="No"/>
    <x v="1"/>
    <s v="Yes"/>
    <n v="20"/>
    <n v="10"/>
    <n v="20"/>
  </r>
  <r>
    <n v="3354"/>
    <x v="122"/>
    <x v="1"/>
    <d v="2024-06-28T00:00:00"/>
    <x v="0"/>
    <n v="5"/>
    <x v="1"/>
    <s v="No"/>
    <x v="1"/>
    <s v="No"/>
    <n v="0"/>
    <n v="0"/>
    <n v="5"/>
  </r>
  <r>
    <n v="3355"/>
    <x v="123"/>
    <x v="0"/>
    <d v="2024-06-29T00:00:00"/>
    <x v="1"/>
    <n v="15"/>
    <x v="0"/>
    <s v="Yes"/>
    <x v="0"/>
    <s v="Yes"/>
    <n v="20"/>
    <n v="20"/>
    <n v="45"/>
  </r>
  <r>
    <n v="3356"/>
    <x v="124"/>
    <x v="2"/>
    <d v="2024-06-30T00:00:00"/>
    <x v="0"/>
    <n v="10"/>
    <x v="2"/>
    <s v="No"/>
    <x v="1"/>
    <s v="Yes"/>
    <n v="20"/>
    <n v="15"/>
    <n v="15"/>
  </r>
  <r>
    <n v="3357"/>
    <x v="125"/>
    <x v="1"/>
    <d v="2024-07-01T00:00:00"/>
    <x v="1"/>
    <n v="5"/>
    <x v="0"/>
    <s v="No"/>
    <x v="1"/>
    <s v="No"/>
    <n v="0"/>
    <n v="1"/>
    <n v="4"/>
  </r>
  <r>
    <n v="3358"/>
    <x v="126"/>
    <x v="0"/>
    <d v="2024-07-02T00:00:00"/>
    <x v="0"/>
    <n v="15"/>
    <x v="1"/>
    <s v="Yes"/>
    <x v="0"/>
    <s v="Yes"/>
    <n v="20"/>
    <n v="3"/>
    <n v="62"/>
  </r>
  <r>
    <n v="3359"/>
    <x v="127"/>
    <x v="2"/>
    <d v="2024-07-03T00:00:00"/>
    <x v="1"/>
    <n v="10"/>
    <x v="0"/>
    <s v="No"/>
    <x v="1"/>
    <s v="Yes"/>
    <n v="20"/>
    <n v="10"/>
    <n v="20"/>
  </r>
  <r>
    <n v="3360"/>
    <x v="128"/>
    <x v="1"/>
    <d v="2024-07-04T00:00:00"/>
    <x v="0"/>
    <n v="5"/>
    <x v="2"/>
    <s v="No"/>
    <x v="1"/>
    <s v="No"/>
    <n v="0"/>
    <n v="0"/>
    <n v="5"/>
  </r>
  <r>
    <n v="3361"/>
    <x v="129"/>
    <x v="0"/>
    <d v="2024-07-05T00:00:00"/>
    <x v="1"/>
    <n v="15"/>
    <x v="0"/>
    <s v="Yes"/>
    <x v="0"/>
    <s v="Yes"/>
    <n v="20"/>
    <n v="15"/>
    <n v="50"/>
  </r>
  <r>
    <n v="3362"/>
    <x v="130"/>
    <x v="2"/>
    <d v="2024-07-06T00:00:00"/>
    <x v="0"/>
    <n v="10"/>
    <x v="1"/>
    <s v="No"/>
    <x v="1"/>
    <s v="Yes"/>
    <n v="20"/>
    <n v="15"/>
    <n v="15"/>
  </r>
  <r>
    <n v="3363"/>
    <x v="131"/>
    <x v="1"/>
    <d v="2024-07-07T00:00:00"/>
    <x v="1"/>
    <n v="5"/>
    <x v="0"/>
    <s v="No"/>
    <x v="1"/>
    <s v="No"/>
    <n v="0"/>
    <n v="1"/>
    <n v="4"/>
  </r>
  <r>
    <n v="3364"/>
    <x v="132"/>
    <x v="0"/>
    <d v="2024-07-08T00:00:00"/>
    <x v="0"/>
    <n v="15"/>
    <x v="2"/>
    <s v="Yes"/>
    <x v="0"/>
    <s v="Yes"/>
    <n v="20"/>
    <n v="7"/>
    <n v="58"/>
  </r>
  <r>
    <n v="3365"/>
    <x v="133"/>
    <x v="2"/>
    <d v="2024-07-09T00:00:00"/>
    <x v="1"/>
    <n v="10"/>
    <x v="0"/>
    <s v="No"/>
    <x v="1"/>
    <s v="Yes"/>
    <n v="20"/>
    <n v="10"/>
    <n v="20"/>
  </r>
  <r>
    <n v="3366"/>
    <x v="134"/>
    <x v="1"/>
    <d v="2024-07-10T00:00:00"/>
    <x v="0"/>
    <n v="5"/>
    <x v="0"/>
    <s v="No"/>
    <x v="1"/>
    <s v="No"/>
    <n v="0"/>
    <n v="0"/>
    <n v="5"/>
  </r>
  <r>
    <n v="3367"/>
    <x v="135"/>
    <x v="0"/>
    <d v="2024-07-11T00:00:00"/>
    <x v="1"/>
    <n v="15"/>
    <x v="2"/>
    <s v="Yes"/>
    <x v="0"/>
    <s v="Yes"/>
    <n v="20"/>
    <n v="7"/>
    <n v="58"/>
  </r>
  <r>
    <n v="3368"/>
    <x v="136"/>
    <x v="2"/>
    <d v="2024-07-12T00:00:00"/>
    <x v="0"/>
    <n v="10"/>
    <x v="1"/>
    <s v="No"/>
    <x v="1"/>
    <s v="Yes"/>
    <n v="20"/>
    <n v="10"/>
    <n v="20"/>
  </r>
  <r>
    <n v="3369"/>
    <x v="137"/>
    <x v="1"/>
    <d v="2024-07-13T00:00:00"/>
    <x v="1"/>
    <n v="5"/>
    <x v="2"/>
    <s v="No"/>
    <x v="1"/>
    <s v="No"/>
    <n v="0"/>
    <n v="1"/>
    <n v="4"/>
  </r>
  <r>
    <n v="3370"/>
    <x v="138"/>
    <x v="0"/>
    <d v="2024-07-14T00:00:00"/>
    <x v="0"/>
    <n v="15"/>
    <x v="0"/>
    <s v="Yes"/>
    <x v="0"/>
    <s v="Yes"/>
    <n v="20"/>
    <n v="15"/>
    <n v="50"/>
  </r>
  <r>
    <n v="3371"/>
    <x v="139"/>
    <x v="2"/>
    <d v="2024-07-15T00:00:00"/>
    <x v="1"/>
    <n v="10"/>
    <x v="0"/>
    <s v="No"/>
    <x v="1"/>
    <s v="Yes"/>
    <n v="20"/>
    <n v="5"/>
    <n v="25"/>
  </r>
  <r>
    <n v="3372"/>
    <x v="140"/>
    <x v="1"/>
    <d v="2024-07-16T00:00:00"/>
    <x v="0"/>
    <n v="5"/>
    <x v="1"/>
    <s v="No"/>
    <x v="1"/>
    <s v="No"/>
    <n v="0"/>
    <n v="0"/>
    <n v="5"/>
  </r>
  <r>
    <n v="3373"/>
    <x v="141"/>
    <x v="0"/>
    <d v="2024-07-17T00:00:00"/>
    <x v="1"/>
    <n v="15"/>
    <x v="2"/>
    <s v="Yes"/>
    <x v="0"/>
    <s v="Yes"/>
    <n v="20"/>
    <n v="20"/>
    <n v="45"/>
  </r>
  <r>
    <n v="3374"/>
    <x v="142"/>
    <x v="2"/>
    <d v="2024-07-18T00:00:00"/>
    <x v="0"/>
    <n v="10"/>
    <x v="2"/>
    <s v="No"/>
    <x v="1"/>
    <s v="Yes"/>
    <n v="20"/>
    <n v="12"/>
    <n v="18"/>
  </r>
  <r>
    <n v="3375"/>
    <x v="143"/>
    <x v="1"/>
    <d v="2024-07-19T00:00:00"/>
    <x v="1"/>
    <n v="5"/>
    <x v="0"/>
    <s v="No"/>
    <x v="1"/>
    <s v="No"/>
    <n v="0"/>
    <n v="2"/>
    <n v="3"/>
  </r>
  <r>
    <n v="3376"/>
    <x v="144"/>
    <x v="0"/>
    <d v="2024-07-20T00:00:00"/>
    <x v="0"/>
    <n v="15"/>
    <x v="1"/>
    <s v="Yes"/>
    <x v="0"/>
    <s v="Yes"/>
    <n v="20"/>
    <n v="5"/>
    <n v="60"/>
  </r>
  <r>
    <n v="3377"/>
    <x v="145"/>
    <x v="2"/>
    <d v="2024-07-21T00:00:00"/>
    <x v="1"/>
    <n v="10"/>
    <x v="0"/>
    <s v="No"/>
    <x v="1"/>
    <s v="Yes"/>
    <n v="20"/>
    <n v="10"/>
    <n v="20"/>
  </r>
  <r>
    <n v="3378"/>
    <x v="146"/>
    <x v="1"/>
    <d v="2024-07-22T00:00:00"/>
    <x v="0"/>
    <n v="5"/>
    <x v="2"/>
    <s v="No"/>
    <x v="1"/>
    <s v="No"/>
    <n v="0"/>
    <n v="0"/>
    <n v="5"/>
  </r>
  <r>
    <n v="3379"/>
    <x v="147"/>
    <x v="0"/>
    <d v="2024-07-23T00:00:00"/>
    <x v="1"/>
    <n v="15"/>
    <x v="0"/>
    <s v="Yes"/>
    <x v="0"/>
    <s v="Yes"/>
    <n v="20"/>
    <n v="3"/>
    <n v="62"/>
  </r>
  <r>
    <n v="3380"/>
    <x v="148"/>
    <x v="2"/>
    <d v="2024-07-24T00:00:00"/>
    <x v="0"/>
    <n v="10"/>
    <x v="1"/>
    <s v="No"/>
    <x v="1"/>
    <s v="Yes"/>
    <n v="20"/>
    <n v="15"/>
    <n v="15"/>
  </r>
  <r>
    <n v="3381"/>
    <x v="149"/>
    <x v="1"/>
    <d v="2024-07-25T00:00:00"/>
    <x v="1"/>
    <n v="5"/>
    <x v="0"/>
    <s v="No"/>
    <x v="1"/>
    <s v="No"/>
    <n v="0"/>
    <n v="1"/>
    <n v="4"/>
  </r>
  <r>
    <n v="3382"/>
    <x v="150"/>
    <x v="0"/>
    <d v="2024-07-26T00:00:00"/>
    <x v="0"/>
    <n v="15"/>
    <x v="2"/>
    <s v="Yes"/>
    <x v="0"/>
    <s v="Yes"/>
    <n v="20"/>
    <n v="7"/>
    <n v="58"/>
  </r>
  <r>
    <n v="3383"/>
    <x v="151"/>
    <x v="2"/>
    <d v="2024-07-27T00:00:00"/>
    <x v="1"/>
    <n v="10"/>
    <x v="0"/>
    <s v="No"/>
    <x v="1"/>
    <s v="Yes"/>
    <n v="20"/>
    <n v="10"/>
    <n v="20"/>
  </r>
  <r>
    <n v="3384"/>
    <x v="152"/>
    <x v="1"/>
    <d v="2024-07-28T00:00:00"/>
    <x v="0"/>
    <n v="5"/>
    <x v="1"/>
    <s v="No"/>
    <x v="1"/>
    <s v="No"/>
    <n v="0"/>
    <n v="0"/>
    <n v="5"/>
  </r>
  <r>
    <n v="3385"/>
    <x v="153"/>
    <x v="0"/>
    <d v="2024-07-29T00:00:00"/>
    <x v="1"/>
    <n v="15"/>
    <x v="0"/>
    <s v="Yes"/>
    <x v="0"/>
    <s v="Yes"/>
    <n v="20"/>
    <n v="20"/>
    <n v="45"/>
  </r>
  <r>
    <n v="3386"/>
    <x v="154"/>
    <x v="2"/>
    <d v="2024-07-30T00:00:00"/>
    <x v="0"/>
    <n v="10"/>
    <x v="2"/>
    <s v="No"/>
    <x v="1"/>
    <s v="Yes"/>
    <n v="20"/>
    <n v="15"/>
    <n v="15"/>
  </r>
  <r>
    <n v="3387"/>
    <x v="155"/>
    <x v="1"/>
    <d v="2024-07-31T00:00:00"/>
    <x v="1"/>
    <n v="5"/>
    <x v="0"/>
    <s v="No"/>
    <x v="1"/>
    <s v="No"/>
    <n v="0"/>
    <n v="1"/>
    <n v="4"/>
  </r>
  <r>
    <n v="3388"/>
    <x v="156"/>
    <x v="0"/>
    <d v="2024-08-01T00:00:00"/>
    <x v="0"/>
    <n v="15"/>
    <x v="1"/>
    <s v="Yes"/>
    <x v="0"/>
    <s v="Yes"/>
    <n v="20"/>
    <n v="3"/>
    <n v="62"/>
  </r>
  <r>
    <n v="3389"/>
    <x v="157"/>
    <x v="2"/>
    <d v="2024-08-02T00:00:00"/>
    <x v="1"/>
    <n v="10"/>
    <x v="0"/>
    <s v="No"/>
    <x v="1"/>
    <s v="Yes"/>
    <n v="20"/>
    <n v="10"/>
    <n v="20"/>
  </r>
  <r>
    <n v="3390"/>
    <x v="158"/>
    <x v="1"/>
    <d v="2024-08-03T00:00:00"/>
    <x v="0"/>
    <n v="5"/>
    <x v="2"/>
    <s v="No"/>
    <x v="1"/>
    <s v="No"/>
    <n v="0"/>
    <n v="0"/>
    <n v="5"/>
  </r>
  <r>
    <n v="3391"/>
    <x v="58"/>
    <x v="0"/>
    <d v="2024-08-04T00:00:00"/>
    <x v="1"/>
    <n v="15"/>
    <x v="0"/>
    <s v="Yes"/>
    <x v="0"/>
    <s v="Yes"/>
    <n v="20"/>
    <n v="15"/>
    <n v="50"/>
  </r>
  <r>
    <n v="3392"/>
    <x v="159"/>
    <x v="2"/>
    <d v="2024-08-05T00:00:00"/>
    <x v="0"/>
    <n v="10"/>
    <x v="1"/>
    <s v="No"/>
    <x v="1"/>
    <s v="Yes"/>
    <n v="20"/>
    <n v="15"/>
    <n v="15"/>
  </r>
  <r>
    <n v="3393"/>
    <x v="160"/>
    <x v="1"/>
    <d v="2024-08-06T00:00:00"/>
    <x v="1"/>
    <n v="5"/>
    <x v="0"/>
    <s v="No"/>
    <x v="1"/>
    <s v="No"/>
    <n v="0"/>
    <n v="1"/>
    <n v="4"/>
  </r>
  <r>
    <n v="3394"/>
    <x v="161"/>
    <x v="0"/>
    <d v="2024-08-07T00:00:00"/>
    <x v="0"/>
    <n v="15"/>
    <x v="2"/>
    <s v="Yes"/>
    <x v="0"/>
    <s v="Yes"/>
    <n v="20"/>
    <n v="7"/>
    <n v="58"/>
  </r>
  <r>
    <n v="3395"/>
    <x v="162"/>
    <x v="2"/>
    <d v="2024-08-08T00:00:00"/>
    <x v="1"/>
    <n v="10"/>
    <x v="0"/>
    <s v="No"/>
    <x v="1"/>
    <s v="Yes"/>
    <n v="20"/>
    <n v="10"/>
    <n v="20"/>
  </r>
  <r>
    <n v="3396"/>
    <x v="163"/>
    <x v="1"/>
    <d v="2024-08-09T00:00:00"/>
    <x v="0"/>
    <n v="5"/>
    <x v="1"/>
    <s v="No"/>
    <x v="1"/>
    <s v="No"/>
    <n v="0"/>
    <n v="0"/>
    <n v="5"/>
  </r>
  <r>
    <n v="3397"/>
    <x v="90"/>
    <x v="0"/>
    <d v="2024-08-10T00:00:00"/>
    <x v="1"/>
    <n v="15"/>
    <x v="0"/>
    <s v="Yes"/>
    <x v="0"/>
    <s v="Yes"/>
    <n v="20"/>
    <n v="20"/>
    <n v="45"/>
  </r>
  <r>
    <n v="3398"/>
    <x v="164"/>
    <x v="2"/>
    <d v="2024-08-11T00:00:00"/>
    <x v="0"/>
    <n v="10"/>
    <x v="2"/>
    <s v="No"/>
    <x v="1"/>
    <s v="Yes"/>
    <n v="20"/>
    <n v="15"/>
    <n v="15"/>
  </r>
  <r>
    <n v="3399"/>
    <x v="165"/>
    <x v="1"/>
    <d v="2024-08-12T00:00:00"/>
    <x v="1"/>
    <n v="5"/>
    <x v="0"/>
    <s v="No"/>
    <x v="1"/>
    <s v="No"/>
    <n v="0"/>
    <n v="1"/>
    <n v="4"/>
  </r>
  <r>
    <n v="3400"/>
    <x v="166"/>
    <x v="0"/>
    <d v="2024-08-13T00:00:00"/>
    <x v="0"/>
    <n v="15"/>
    <x v="1"/>
    <s v="Yes"/>
    <x v="0"/>
    <s v="Yes"/>
    <n v="20"/>
    <n v="5"/>
    <n v="60"/>
  </r>
  <r>
    <n v="3401"/>
    <x v="167"/>
    <x v="2"/>
    <d v="2024-08-14T00:00:00"/>
    <x v="1"/>
    <n v="10"/>
    <x v="0"/>
    <s v="No"/>
    <x v="1"/>
    <s v="Yes"/>
    <n v="20"/>
    <n v="10"/>
    <n v="20"/>
  </r>
  <r>
    <n v="3402"/>
    <x v="168"/>
    <x v="1"/>
    <d v="2024-08-15T00:00:00"/>
    <x v="0"/>
    <n v="5"/>
    <x v="2"/>
    <s v="No"/>
    <x v="1"/>
    <s v="No"/>
    <n v="0"/>
    <n v="0"/>
    <n v="5"/>
  </r>
  <r>
    <n v="3403"/>
    <x v="169"/>
    <x v="0"/>
    <d v="2024-08-16T00:00:00"/>
    <x v="1"/>
    <n v="15"/>
    <x v="0"/>
    <s v="Yes"/>
    <x v="0"/>
    <s v="Yes"/>
    <n v="20"/>
    <n v="3"/>
    <n v="62"/>
  </r>
  <r>
    <n v="3404"/>
    <x v="170"/>
    <x v="2"/>
    <d v="2024-08-17T00:00:00"/>
    <x v="0"/>
    <n v="10"/>
    <x v="1"/>
    <s v="No"/>
    <x v="1"/>
    <s v="Yes"/>
    <n v="20"/>
    <n v="15"/>
    <n v="15"/>
  </r>
  <r>
    <n v="3405"/>
    <x v="171"/>
    <x v="1"/>
    <d v="2024-08-18T00:00:00"/>
    <x v="1"/>
    <n v="5"/>
    <x v="0"/>
    <s v="No"/>
    <x v="1"/>
    <s v="No"/>
    <n v="0"/>
    <n v="1"/>
    <n v="4"/>
  </r>
  <r>
    <n v="3406"/>
    <x v="172"/>
    <x v="1"/>
    <d v="2024-08-19T00:00:00"/>
    <x v="0"/>
    <n v="5"/>
    <x v="0"/>
    <s v="No"/>
    <x v="1"/>
    <s v="No"/>
    <n v="0"/>
    <n v="0"/>
    <n v="5"/>
  </r>
  <r>
    <n v="3407"/>
    <x v="173"/>
    <x v="0"/>
    <d v="2024-08-20T00:00:00"/>
    <x v="1"/>
    <n v="15"/>
    <x v="2"/>
    <s v="Yes"/>
    <x v="0"/>
    <s v="Yes"/>
    <n v="20"/>
    <n v="7"/>
    <n v="58"/>
  </r>
  <r>
    <n v="3408"/>
    <x v="174"/>
    <x v="2"/>
    <d v="2024-08-21T00:00:00"/>
    <x v="0"/>
    <n v="10"/>
    <x v="1"/>
    <s v="No"/>
    <x v="1"/>
    <s v="Yes"/>
    <n v="20"/>
    <n v="10"/>
    <n v="20"/>
  </r>
  <r>
    <n v="3409"/>
    <x v="175"/>
    <x v="1"/>
    <d v="2024-08-22T00:00:00"/>
    <x v="1"/>
    <n v="5"/>
    <x v="2"/>
    <s v="No"/>
    <x v="1"/>
    <s v="No"/>
    <n v="0"/>
    <n v="1"/>
    <n v="4"/>
  </r>
  <r>
    <n v="3410"/>
    <x v="176"/>
    <x v="0"/>
    <d v="2024-08-23T00:00:00"/>
    <x v="0"/>
    <n v="15"/>
    <x v="0"/>
    <s v="Yes"/>
    <x v="0"/>
    <s v="Yes"/>
    <n v="20"/>
    <n v="15"/>
    <n v="50"/>
  </r>
  <r>
    <n v="3411"/>
    <x v="177"/>
    <x v="2"/>
    <d v="2024-08-24T00:00:00"/>
    <x v="1"/>
    <n v="10"/>
    <x v="0"/>
    <s v="No"/>
    <x v="1"/>
    <s v="Yes"/>
    <n v="20"/>
    <n v="5"/>
    <n v="25"/>
  </r>
  <r>
    <n v="3412"/>
    <x v="178"/>
    <x v="1"/>
    <d v="2024-08-25T00:00:00"/>
    <x v="0"/>
    <n v="5"/>
    <x v="1"/>
    <s v="No"/>
    <x v="1"/>
    <s v="No"/>
    <n v="0"/>
    <n v="0"/>
    <n v="5"/>
  </r>
  <r>
    <n v="3413"/>
    <x v="179"/>
    <x v="0"/>
    <d v="2024-08-26T00:00:00"/>
    <x v="1"/>
    <n v="15"/>
    <x v="2"/>
    <s v="Yes"/>
    <x v="0"/>
    <s v="Yes"/>
    <n v="20"/>
    <n v="20"/>
    <n v="45"/>
  </r>
  <r>
    <n v="3414"/>
    <x v="180"/>
    <x v="2"/>
    <d v="2024-08-27T00:00:00"/>
    <x v="0"/>
    <n v="10"/>
    <x v="2"/>
    <s v="No"/>
    <x v="1"/>
    <s v="Yes"/>
    <n v="20"/>
    <n v="12"/>
    <n v="18"/>
  </r>
  <r>
    <n v="3415"/>
    <x v="181"/>
    <x v="1"/>
    <d v="2024-08-28T00:00:00"/>
    <x v="1"/>
    <n v="5"/>
    <x v="0"/>
    <s v="No"/>
    <x v="1"/>
    <s v="No"/>
    <n v="0"/>
    <n v="2"/>
    <n v="3"/>
  </r>
  <r>
    <n v="3416"/>
    <x v="182"/>
    <x v="0"/>
    <d v="2024-08-29T00:00:00"/>
    <x v="0"/>
    <n v="15"/>
    <x v="1"/>
    <s v="Yes"/>
    <x v="0"/>
    <s v="Yes"/>
    <n v="20"/>
    <n v="5"/>
    <n v="60"/>
  </r>
  <r>
    <n v="3417"/>
    <x v="183"/>
    <x v="2"/>
    <d v="2024-08-30T00:00:00"/>
    <x v="1"/>
    <n v="10"/>
    <x v="0"/>
    <s v="No"/>
    <x v="1"/>
    <s v="Yes"/>
    <n v="20"/>
    <n v="10"/>
    <n v="20"/>
  </r>
  <r>
    <n v="3418"/>
    <x v="184"/>
    <x v="1"/>
    <d v="2024-08-31T00:00:00"/>
    <x v="0"/>
    <n v="5"/>
    <x v="2"/>
    <s v="No"/>
    <x v="1"/>
    <s v="No"/>
    <n v="0"/>
    <n v="0"/>
    <n v="5"/>
  </r>
  <r>
    <n v="3419"/>
    <x v="185"/>
    <x v="0"/>
    <d v="2024-09-01T00:00:00"/>
    <x v="1"/>
    <n v="15"/>
    <x v="0"/>
    <s v="Yes"/>
    <x v="0"/>
    <s v="Yes"/>
    <n v="20"/>
    <n v="3"/>
    <n v="62"/>
  </r>
  <r>
    <n v="3420"/>
    <x v="186"/>
    <x v="2"/>
    <d v="2024-09-02T00:00:00"/>
    <x v="0"/>
    <n v="10"/>
    <x v="1"/>
    <s v="No"/>
    <x v="1"/>
    <s v="Yes"/>
    <n v="20"/>
    <n v="15"/>
    <n v="15"/>
  </r>
  <r>
    <n v="3421"/>
    <x v="15"/>
    <x v="1"/>
    <d v="2024-09-03T00:00:00"/>
    <x v="1"/>
    <n v="5"/>
    <x v="0"/>
    <s v="No"/>
    <x v="1"/>
    <s v="No"/>
    <n v="0"/>
    <n v="1"/>
    <n v="4"/>
  </r>
  <r>
    <n v="3422"/>
    <x v="187"/>
    <x v="0"/>
    <d v="2024-09-04T00:00:00"/>
    <x v="0"/>
    <n v="15"/>
    <x v="2"/>
    <s v="Yes"/>
    <x v="0"/>
    <s v="Yes"/>
    <n v="20"/>
    <n v="7"/>
    <n v="58"/>
  </r>
  <r>
    <n v="3423"/>
    <x v="188"/>
    <x v="2"/>
    <d v="2024-09-05T00:00:00"/>
    <x v="1"/>
    <n v="10"/>
    <x v="0"/>
    <s v="No"/>
    <x v="1"/>
    <s v="Yes"/>
    <n v="20"/>
    <n v="10"/>
    <n v="20"/>
  </r>
  <r>
    <n v="3424"/>
    <x v="14"/>
    <x v="1"/>
    <d v="2024-09-06T00:00:00"/>
    <x v="0"/>
    <n v="5"/>
    <x v="1"/>
    <s v="No"/>
    <x v="1"/>
    <s v="No"/>
    <n v="0"/>
    <n v="0"/>
    <n v="5"/>
  </r>
  <r>
    <n v="3425"/>
    <x v="189"/>
    <x v="0"/>
    <d v="2024-09-07T00:00:00"/>
    <x v="1"/>
    <n v="15"/>
    <x v="0"/>
    <s v="Yes"/>
    <x v="0"/>
    <s v="Yes"/>
    <n v="20"/>
    <n v="20"/>
    <n v="45"/>
  </r>
  <r>
    <n v="3426"/>
    <x v="167"/>
    <x v="2"/>
    <d v="2024-09-08T00:00:00"/>
    <x v="0"/>
    <n v="10"/>
    <x v="2"/>
    <s v="No"/>
    <x v="1"/>
    <s v="Yes"/>
    <n v="20"/>
    <n v="15"/>
    <n v="15"/>
  </r>
  <r>
    <n v="3427"/>
    <x v="190"/>
    <x v="1"/>
    <d v="2024-09-09T00:00:00"/>
    <x v="1"/>
    <n v="5"/>
    <x v="0"/>
    <s v="No"/>
    <x v="1"/>
    <s v="No"/>
    <n v="0"/>
    <n v="1"/>
    <n v="4"/>
  </r>
  <r>
    <n v="3428"/>
    <x v="191"/>
    <x v="0"/>
    <d v="2024-09-10T00:00:00"/>
    <x v="0"/>
    <n v="15"/>
    <x v="1"/>
    <s v="Yes"/>
    <x v="0"/>
    <s v="Yes"/>
    <n v="20"/>
    <n v="3"/>
    <n v="62"/>
  </r>
  <r>
    <n v="3429"/>
    <x v="192"/>
    <x v="2"/>
    <d v="2024-09-11T00:00:00"/>
    <x v="1"/>
    <n v="10"/>
    <x v="0"/>
    <s v="No"/>
    <x v="1"/>
    <s v="Yes"/>
    <n v="20"/>
    <n v="10"/>
    <n v="20"/>
  </r>
  <r>
    <n v="3430"/>
    <x v="193"/>
    <x v="1"/>
    <d v="2024-09-12T00:00:00"/>
    <x v="0"/>
    <n v="5"/>
    <x v="2"/>
    <s v="No"/>
    <x v="1"/>
    <s v="No"/>
    <n v="0"/>
    <n v="0"/>
    <n v="5"/>
  </r>
  <r>
    <n v="3431"/>
    <x v="194"/>
    <x v="0"/>
    <d v="2024-09-13T00:00:00"/>
    <x v="1"/>
    <n v="15"/>
    <x v="0"/>
    <s v="Yes"/>
    <x v="0"/>
    <s v="Yes"/>
    <n v="20"/>
    <n v="15"/>
    <n v="50"/>
  </r>
  <r>
    <n v="3432"/>
    <x v="195"/>
    <x v="2"/>
    <d v="2024-09-14T00:00:00"/>
    <x v="0"/>
    <n v="10"/>
    <x v="1"/>
    <s v="No"/>
    <x v="1"/>
    <s v="Yes"/>
    <n v="20"/>
    <n v="15"/>
    <n v="15"/>
  </r>
  <r>
    <n v="3433"/>
    <x v="196"/>
    <x v="1"/>
    <d v="2024-09-15T00:00:00"/>
    <x v="1"/>
    <n v="5"/>
    <x v="0"/>
    <s v="No"/>
    <x v="1"/>
    <s v="No"/>
    <n v="0"/>
    <n v="1"/>
    <n v="4"/>
  </r>
  <r>
    <n v="3434"/>
    <x v="197"/>
    <x v="0"/>
    <d v="2024-09-16T00:00:00"/>
    <x v="0"/>
    <n v="15"/>
    <x v="2"/>
    <s v="Yes"/>
    <x v="0"/>
    <s v="Yes"/>
    <n v="20"/>
    <n v="7"/>
    <n v="58"/>
  </r>
  <r>
    <n v="3435"/>
    <x v="198"/>
    <x v="2"/>
    <d v="2024-09-17T00:00:00"/>
    <x v="1"/>
    <n v="10"/>
    <x v="0"/>
    <s v="No"/>
    <x v="1"/>
    <s v="Yes"/>
    <n v="20"/>
    <n v="10"/>
    <n v="20"/>
  </r>
  <r>
    <n v="3436"/>
    <x v="199"/>
    <x v="1"/>
    <d v="2024-09-18T00:00:00"/>
    <x v="0"/>
    <n v="5"/>
    <x v="0"/>
    <s v="No"/>
    <x v="1"/>
    <s v="No"/>
    <n v="0"/>
    <n v="0"/>
    <n v="5"/>
  </r>
  <r>
    <n v="3437"/>
    <x v="200"/>
    <x v="0"/>
    <d v="2024-09-19T00:00:00"/>
    <x v="1"/>
    <n v="15"/>
    <x v="2"/>
    <s v="Yes"/>
    <x v="0"/>
    <s v="Yes"/>
    <n v="20"/>
    <n v="7"/>
    <n v="58"/>
  </r>
  <r>
    <n v="3438"/>
    <x v="201"/>
    <x v="2"/>
    <d v="2024-09-20T00:00:00"/>
    <x v="0"/>
    <n v="10"/>
    <x v="1"/>
    <s v="No"/>
    <x v="1"/>
    <s v="Yes"/>
    <n v="20"/>
    <n v="10"/>
    <n v="20"/>
  </r>
  <r>
    <n v="3439"/>
    <x v="202"/>
    <x v="1"/>
    <d v="2024-09-21T00:00:00"/>
    <x v="1"/>
    <n v="5"/>
    <x v="2"/>
    <s v="No"/>
    <x v="1"/>
    <s v="No"/>
    <n v="0"/>
    <n v="1"/>
    <n v="4"/>
  </r>
  <r>
    <n v="3440"/>
    <x v="203"/>
    <x v="0"/>
    <d v="2024-09-22T00:00:00"/>
    <x v="0"/>
    <n v="15"/>
    <x v="0"/>
    <s v="Yes"/>
    <x v="0"/>
    <s v="Yes"/>
    <n v="20"/>
    <n v="15"/>
    <n v="50"/>
  </r>
  <r>
    <n v="3441"/>
    <x v="204"/>
    <x v="2"/>
    <d v="2024-09-23T00:00:00"/>
    <x v="1"/>
    <n v="10"/>
    <x v="0"/>
    <s v="No"/>
    <x v="1"/>
    <s v="Yes"/>
    <n v="20"/>
    <n v="5"/>
    <n v="25"/>
  </r>
  <r>
    <n v="3442"/>
    <x v="205"/>
    <x v="1"/>
    <d v="2024-09-24T00:00:00"/>
    <x v="0"/>
    <n v="5"/>
    <x v="1"/>
    <s v="No"/>
    <x v="1"/>
    <s v="No"/>
    <n v="0"/>
    <n v="0"/>
    <n v="5"/>
  </r>
  <r>
    <n v="3443"/>
    <x v="206"/>
    <x v="0"/>
    <d v="2024-09-25T00:00:00"/>
    <x v="1"/>
    <n v="15"/>
    <x v="2"/>
    <s v="Yes"/>
    <x v="0"/>
    <s v="Yes"/>
    <n v="20"/>
    <n v="20"/>
    <n v="45"/>
  </r>
  <r>
    <n v="3444"/>
    <x v="207"/>
    <x v="2"/>
    <d v="2024-09-26T00:00:00"/>
    <x v="0"/>
    <n v="10"/>
    <x v="2"/>
    <s v="No"/>
    <x v="1"/>
    <s v="Yes"/>
    <n v="20"/>
    <n v="12"/>
    <n v="18"/>
  </r>
  <r>
    <n v="3445"/>
    <x v="37"/>
    <x v="1"/>
    <d v="2024-09-27T00:00:00"/>
    <x v="1"/>
    <n v="5"/>
    <x v="0"/>
    <s v="No"/>
    <x v="1"/>
    <s v="No"/>
    <n v="0"/>
    <n v="2"/>
    <n v="3"/>
  </r>
  <r>
    <n v="3446"/>
    <x v="208"/>
    <x v="0"/>
    <d v="2024-09-28T00:00:00"/>
    <x v="0"/>
    <n v="15"/>
    <x v="1"/>
    <s v="Yes"/>
    <x v="0"/>
    <s v="Yes"/>
    <n v="20"/>
    <n v="5"/>
    <n v="60"/>
  </r>
  <r>
    <n v="3447"/>
    <x v="209"/>
    <x v="2"/>
    <d v="2024-09-29T00:00:00"/>
    <x v="1"/>
    <n v="10"/>
    <x v="0"/>
    <s v="No"/>
    <x v="1"/>
    <s v="Yes"/>
    <n v="20"/>
    <n v="10"/>
    <n v="20"/>
  </r>
  <r>
    <n v="3448"/>
    <x v="210"/>
    <x v="1"/>
    <d v="2024-09-30T00:00:00"/>
    <x v="0"/>
    <n v="5"/>
    <x v="2"/>
    <s v="No"/>
    <x v="1"/>
    <s v="No"/>
    <n v="0"/>
    <n v="0"/>
    <n v="5"/>
  </r>
  <r>
    <n v="3449"/>
    <x v="211"/>
    <x v="0"/>
    <d v="2024-10-01T00:00:00"/>
    <x v="1"/>
    <n v="15"/>
    <x v="0"/>
    <s v="Yes"/>
    <x v="0"/>
    <s v="Yes"/>
    <n v="20"/>
    <n v="3"/>
    <n v="62"/>
  </r>
  <r>
    <n v="3450"/>
    <x v="212"/>
    <x v="2"/>
    <d v="2024-10-02T00:00:00"/>
    <x v="0"/>
    <n v="10"/>
    <x v="1"/>
    <s v="No"/>
    <x v="1"/>
    <s v="Yes"/>
    <n v="20"/>
    <n v="15"/>
    <n v="15"/>
  </r>
  <r>
    <n v="3451"/>
    <x v="213"/>
    <x v="1"/>
    <d v="2024-10-03T00:00:00"/>
    <x v="1"/>
    <n v="5"/>
    <x v="0"/>
    <s v="No"/>
    <x v="1"/>
    <s v="No"/>
    <n v="0"/>
    <n v="1"/>
    <n v="4"/>
  </r>
  <r>
    <n v="3452"/>
    <x v="191"/>
    <x v="0"/>
    <d v="2024-10-04T00:00:00"/>
    <x v="0"/>
    <n v="15"/>
    <x v="2"/>
    <s v="Yes"/>
    <x v="0"/>
    <s v="Yes"/>
    <n v="20"/>
    <n v="7"/>
    <n v="58"/>
  </r>
  <r>
    <n v="3453"/>
    <x v="45"/>
    <x v="2"/>
    <d v="2024-10-05T00:00:00"/>
    <x v="1"/>
    <n v="10"/>
    <x v="0"/>
    <s v="No"/>
    <x v="1"/>
    <s v="Yes"/>
    <n v="20"/>
    <n v="10"/>
    <n v="20"/>
  </r>
  <r>
    <n v="3454"/>
    <x v="214"/>
    <x v="1"/>
    <d v="2024-10-06T00:00:00"/>
    <x v="0"/>
    <n v="5"/>
    <x v="1"/>
    <s v="No"/>
    <x v="1"/>
    <s v="No"/>
    <n v="0"/>
    <n v="0"/>
    <n v="5"/>
  </r>
  <r>
    <n v="3455"/>
    <x v="215"/>
    <x v="0"/>
    <d v="2024-10-07T00:00:00"/>
    <x v="1"/>
    <n v="15"/>
    <x v="0"/>
    <s v="Yes"/>
    <x v="0"/>
    <s v="Yes"/>
    <n v="20"/>
    <n v="20"/>
    <n v="45"/>
  </r>
  <r>
    <n v="3456"/>
    <x v="216"/>
    <x v="2"/>
    <d v="2024-10-08T00:00:00"/>
    <x v="0"/>
    <n v="10"/>
    <x v="2"/>
    <s v="No"/>
    <x v="1"/>
    <s v="Yes"/>
    <n v="20"/>
    <n v="15"/>
    <n v="15"/>
  </r>
  <r>
    <n v="3457"/>
    <x v="217"/>
    <x v="1"/>
    <d v="2024-10-09T00:00:00"/>
    <x v="1"/>
    <n v="5"/>
    <x v="0"/>
    <s v="No"/>
    <x v="1"/>
    <s v="No"/>
    <n v="0"/>
    <n v="1"/>
    <n v="4"/>
  </r>
  <r>
    <n v="3458"/>
    <x v="218"/>
    <x v="0"/>
    <d v="2024-10-10T00:00:00"/>
    <x v="0"/>
    <n v="15"/>
    <x v="1"/>
    <s v="Yes"/>
    <x v="0"/>
    <s v="Yes"/>
    <n v="20"/>
    <n v="3"/>
    <n v="62"/>
  </r>
  <r>
    <n v="3459"/>
    <x v="219"/>
    <x v="2"/>
    <d v="2024-10-11T00:00:00"/>
    <x v="1"/>
    <n v="10"/>
    <x v="0"/>
    <s v="No"/>
    <x v="1"/>
    <s v="Yes"/>
    <n v="20"/>
    <n v="10"/>
    <n v="20"/>
  </r>
  <r>
    <n v="3460"/>
    <x v="127"/>
    <x v="1"/>
    <d v="2024-10-12T00:00:00"/>
    <x v="0"/>
    <n v="5"/>
    <x v="2"/>
    <s v="No"/>
    <x v="1"/>
    <s v="No"/>
    <n v="0"/>
    <n v="0"/>
    <n v="5"/>
  </r>
  <r>
    <n v="3461"/>
    <x v="220"/>
    <x v="0"/>
    <d v="2024-10-13T00:00:00"/>
    <x v="1"/>
    <n v="15"/>
    <x v="0"/>
    <s v="Yes"/>
    <x v="0"/>
    <s v="Yes"/>
    <n v="20"/>
    <n v="15"/>
    <n v="50"/>
  </r>
  <r>
    <n v="3462"/>
    <x v="221"/>
    <x v="2"/>
    <d v="2024-10-14T00:00:00"/>
    <x v="0"/>
    <n v="10"/>
    <x v="1"/>
    <s v="No"/>
    <x v="1"/>
    <s v="Yes"/>
    <n v="20"/>
    <n v="15"/>
    <n v="15"/>
  </r>
  <r>
    <n v="3463"/>
    <x v="222"/>
    <x v="1"/>
    <d v="2024-10-15T00:00:00"/>
    <x v="1"/>
    <n v="5"/>
    <x v="0"/>
    <s v="No"/>
    <x v="1"/>
    <s v="No"/>
    <n v="0"/>
    <n v="1"/>
    <n v="4"/>
  </r>
  <r>
    <n v="3464"/>
    <x v="223"/>
    <x v="0"/>
    <d v="2024-10-16T00:00:00"/>
    <x v="0"/>
    <n v="15"/>
    <x v="2"/>
    <s v="Yes"/>
    <x v="0"/>
    <s v="Yes"/>
    <n v="20"/>
    <n v="7"/>
    <n v="58"/>
  </r>
  <r>
    <n v="3465"/>
    <x v="224"/>
    <x v="2"/>
    <d v="2024-10-17T00:00:00"/>
    <x v="1"/>
    <n v="10"/>
    <x v="0"/>
    <s v="No"/>
    <x v="1"/>
    <s v="Yes"/>
    <n v="20"/>
    <n v="10"/>
    <n v="20"/>
  </r>
  <r>
    <n v="3466"/>
    <x v="225"/>
    <x v="1"/>
    <d v="2024-10-18T00:00:00"/>
    <x v="0"/>
    <n v="5"/>
    <x v="1"/>
    <s v="No"/>
    <x v="1"/>
    <s v="No"/>
    <n v="0"/>
    <n v="0"/>
    <n v="5"/>
  </r>
  <r>
    <n v="3467"/>
    <x v="226"/>
    <x v="0"/>
    <d v="2024-10-19T00:00:00"/>
    <x v="1"/>
    <n v="15"/>
    <x v="0"/>
    <s v="Yes"/>
    <x v="0"/>
    <s v="Yes"/>
    <n v="20"/>
    <n v="15"/>
    <n v="50"/>
  </r>
  <r>
    <n v="3468"/>
    <x v="227"/>
    <x v="2"/>
    <d v="2024-10-20T00:00:00"/>
    <x v="0"/>
    <n v="10"/>
    <x v="2"/>
    <s v="No"/>
    <x v="1"/>
    <s v="Yes"/>
    <n v="20"/>
    <n v="12"/>
    <n v="18"/>
  </r>
  <r>
    <n v="3469"/>
    <x v="228"/>
    <x v="1"/>
    <d v="2024-10-21T00:00:00"/>
    <x v="1"/>
    <n v="5"/>
    <x v="0"/>
    <s v="No"/>
    <x v="1"/>
    <s v="No"/>
    <n v="0"/>
    <n v="2"/>
    <n v="3"/>
  </r>
  <r>
    <n v="3470"/>
    <x v="229"/>
    <x v="0"/>
    <d v="2024-10-22T00:00:00"/>
    <x v="0"/>
    <n v="15"/>
    <x v="1"/>
    <s v="Yes"/>
    <x v="0"/>
    <s v="Yes"/>
    <n v="20"/>
    <n v="5"/>
    <n v="60"/>
  </r>
  <r>
    <n v="3471"/>
    <x v="230"/>
    <x v="2"/>
    <d v="2024-10-23T00:00:00"/>
    <x v="1"/>
    <n v="10"/>
    <x v="0"/>
    <s v="No"/>
    <x v="1"/>
    <s v="Yes"/>
    <n v="20"/>
    <n v="10"/>
    <n v="20"/>
  </r>
  <r>
    <n v="3472"/>
    <x v="231"/>
    <x v="1"/>
    <d v="2024-10-24T00:00:00"/>
    <x v="0"/>
    <n v="5"/>
    <x v="2"/>
    <s v="No"/>
    <x v="1"/>
    <s v="No"/>
    <n v="0"/>
    <n v="0"/>
    <n v="5"/>
  </r>
  <r>
    <n v="3473"/>
    <x v="140"/>
    <x v="0"/>
    <d v="2024-10-25T00:00:00"/>
    <x v="1"/>
    <n v="15"/>
    <x v="0"/>
    <s v="Yes"/>
    <x v="0"/>
    <s v="Yes"/>
    <n v="20"/>
    <n v="3"/>
    <n v="62"/>
  </r>
  <r>
    <n v="3474"/>
    <x v="232"/>
    <x v="2"/>
    <d v="2024-10-26T00:00:00"/>
    <x v="0"/>
    <n v="10"/>
    <x v="1"/>
    <s v="No"/>
    <x v="1"/>
    <s v="Yes"/>
    <n v="20"/>
    <n v="15"/>
    <n v="15"/>
  </r>
  <r>
    <n v="3475"/>
    <x v="233"/>
    <x v="1"/>
    <d v="2024-10-27T00:00:00"/>
    <x v="1"/>
    <n v="5"/>
    <x v="0"/>
    <s v="No"/>
    <x v="1"/>
    <s v="No"/>
    <n v="0"/>
    <n v="1"/>
    <n v="4"/>
  </r>
  <r>
    <n v="3476"/>
    <x v="234"/>
    <x v="0"/>
    <d v="2024-10-28T00:00:00"/>
    <x v="0"/>
    <n v="15"/>
    <x v="2"/>
    <s v="Yes"/>
    <x v="0"/>
    <s v="Yes"/>
    <n v="20"/>
    <n v="7"/>
    <n v="58"/>
  </r>
  <r>
    <n v="3477"/>
    <x v="235"/>
    <x v="2"/>
    <d v="2024-10-29T00:00:00"/>
    <x v="1"/>
    <n v="10"/>
    <x v="0"/>
    <s v="No"/>
    <x v="1"/>
    <s v="Yes"/>
    <n v="20"/>
    <n v="10"/>
    <n v="20"/>
  </r>
  <r>
    <n v="3478"/>
    <x v="236"/>
    <x v="1"/>
    <d v="2024-10-30T00:00:00"/>
    <x v="0"/>
    <n v="5"/>
    <x v="1"/>
    <s v="No"/>
    <x v="1"/>
    <s v="No"/>
    <n v="0"/>
    <n v="0"/>
    <n v="5"/>
  </r>
  <r>
    <n v="3479"/>
    <x v="237"/>
    <x v="0"/>
    <d v="2024-10-31T00:00:00"/>
    <x v="1"/>
    <n v="15"/>
    <x v="0"/>
    <s v="Yes"/>
    <x v="0"/>
    <s v="Yes"/>
    <n v="20"/>
    <n v="20"/>
    <n v="45"/>
  </r>
  <r>
    <n v="3480"/>
    <x v="238"/>
    <x v="2"/>
    <d v="2024-11-01T00:00:00"/>
    <x v="0"/>
    <n v="10"/>
    <x v="2"/>
    <s v="No"/>
    <x v="1"/>
    <s v="Yes"/>
    <n v="20"/>
    <n v="15"/>
    <n v="15"/>
  </r>
  <r>
    <n v="3481"/>
    <x v="239"/>
    <x v="1"/>
    <d v="2024-11-02T00:00:00"/>
    <x v="1"/>
    <n v="5"/>
    <x v="0"/>
    <s v="No"/>
    <x v="1"/>
    <s v="No"/>
    <n v="0"/>
    <n v="1"/>
    <n v="4"/>
  </r>
  <r>
    <n v="3482"/>
    <x v="240"/>
    <x v="0"/>
    <d v="2024-11-03T00:00:00"/>
    <x v="0"/>
    <n v="15"/>
    <x v="1"/>
    <s v="Yes"/>
    <x v="0"/>
    <s v="Yes"/>
    <n v="20"/>
    <n v="3"/>
    <n v="62"/>
  </r>
  <r>
    <n v="3483"/>
    <x v="241"/>
    <x v="2"/>
    <d v="2024-11-04T00:00:00"/>
    <x v="1"/>
    <n v="10"/>
    <x v="0"/>
    <s v="No"/>
    <x v="1"/>
    <s v="Yes"/>
    <n v="20"/>
    <n v="10"/>
    <n v="20"/>
  </r>
  <r>
    <n v="3484"/>
    <x v="242"/>
    <x v="1"/>
    <d v="2024-11-05T00:00:00"/>
    <x v="0"/>
    <n v="5"/>
    <x v="2"/>
    <s v="No"/>
    <x v="1"/>
    <s v="No"/>
    <n v="0"/>
    <n v="0"/>
    <n v="5"/>
  </r>
  <r>
    <n v="3485"/>
    <x v="243"/>
    <x v="0"/>
    <d v="2024-11-06T00:00:00"/>
    <x v="1"/>
    <n v="15"/>
    <x v="0"/>
    <s v="Yes"/>
    <x v="0"/>
    <s v="Yes"/>
    <n v="20"/>
    <n v="15"/>
    <n v="50"/>
  </r>
  <r>
    <n v="3486"/>
    <x v="244"/>
    <x v="1"/>
    <d v="2024-11-07T00:00:00"/>
    <x v="0"/>
    <n v="5"/>
    <x v="0"/>
    <s v="No"/>
    <x v="1"/>
    <s v="No"/>
    <n v="0"/>
    <n v="0"/>
    <n v="5"/>
  </r>
  <r>
    <n v="3487"/>
    <x v="245"/>
    <x v="0"/>
    <d v="2024-11-08T00:00:00"/>
    <x v="1"/>
    <n v="15"/>
    <x v="2"/>
    <s v="Yes"/>
    <x v="0"/>
    <s v="Yes"/>
    <n v="20"/>
    <n v="7"/>
    <n v="58"/>
  </r>
  <r>
    <n v="3488"/>
    <x v="246"/>
    <x v="2"/>
    <d v="2024-11-09T00:00:00"/>
    <x v="0"/>
    <n v="10"/>
    <x v="1"/>
    <s v="No"/>
    <x v="1"/>
    <s v="Yes"/>
    <n v="20"/>
    <n v="10"/>
    <n v="20"/>
  </r>
  <r>
    <n v="3489"/>
    <x v="247"/>
    <x v="1"/>
    <d v="2024-11-10T00:00:00"/>
    <x v="1"/>
    <n v="5"/>
    <x v="2"/>
    <s v="No"/>
    <x v="1"/>
    <s v="No"/>
    <n v="0"/>
    <n v="1"/>
    <n v="4"/>
  </r>
  <r>
    <n v="3490"/>
    <x v="248"/>
    <x v="0"/>
    <d v="2024-11-11T00:00:00"/>
    <x v="0"/>
    <n v="15"/>
    <x v="0"/>
    <s v="Yes"/>
    <x v="0"/>
    <s v="Yes"/>
    <n v="20"/>
    <n v="15"/>
    <n v="50"/>
  </r>
  <r>
    <n v="3491"/>
    <x v="249"/>
    <x v="2"/>
    <d v="2024-11-12T00:00:00"/>
    <x v="1"/>
    <n v="10"/>
    <x v="0"/>
    <s v="No"/>
    <x v="1"/>
    <s v="Yes"/>
    <n v="20"/>
    <n v="5"/>
    <n v="25"/>
  </r>
  <r>
    <n v="3492"/>
    <x v="250"/>
    <x v="1"/>
    <d v="2024-11-13T00:00:00"/>
    <x v="0"/>
    <n v="5"/>
    <x v="1"/>
    <s v="No"/>
    <x v="1"/>
    <s v="No"/>
    <n v="0"/>
    <n v="0"/>
    <n v="5"/>
  </r>
  <r>
    <n v="3493"/>
    <x v="251"/>
    <x v="0"/>
    <d v="2024-11-14T00:00:00"/>
    <x v="1"/>
    <n v="15"/>
    <x v="2"/>
    <s v="Yes"/>
    <x v="0"/>
    <s v="Yes"/>
    <n v="20"/>
    <n v="20"/>
    <n v="45"/>
  </r>
  <r>
    <n v="3494"/>
    <x v="252"/>
    <x v="2"/>
    <d v="2024-11-15T00:00:00"/>
    <x v="0"/>
    <n v="10"/>
    <x v="2"/>
    <s v="No"/>
    <x v="1"/>
    <s v="Yes"/>
    <n v="20"/>
    <n v="12"/>
    <n v="18"/>
  </r>
  <r>
    <n v="3495"/>
    <x v="253"/>
    <x v="1"/>
    <d v="2024-11-16T00:00:00"/>
    <x v="1"/>
    <n v="5"/>
    <x v="0"/>
    <s v="No"/>
    <x v="1"/>
    <s v="No"/>
    <n v="0"/>
    <n v="2"/>
    <n v="3"/>
  </r>
  <r>
    <n v="3496"/>
    <x v="254"/>
    <x v="0"/>
    <d v="2024-11-17T00:00:00"/>
    <x v="0"/>
    <n v="15"/>
    <x v="1"/>
    <s v="Yes"/>
    <x v="0"/>
    <s v="Yes"/>
    <n v="20"/>
    <n v="5"/>
    <n v="60"/>
  </r>
  <r>
    <n v="3497"/>
    <x v="255"/>
    <x v="2"/>
    <d v="2024-11-18T00:00:00"/>
    <x v="1"/>
    <n v="10"/>
    <x v="0"/>
    <s v="No"/>
    <x v="1"/>
    <s v="Yes"/>
    <n v="20"/>
    <n v="10"/>
    <n v="20"/>
  </r>
  <r>
    <n v="3498"/>
    <x v="256"/>
    <x v="1"/>
    <d v="2024-11-19T00:00:00"/>
    <x v="0"/>
    <n v="5"/>
    <x v="2"/>
    <s v="No"/>
    <x v="1"/>
    <s v="No"/>
    <n v="0"/>
    <n v="0"/>
    <n v="5"/>
  </r>
  <r>
    <n v="3499"/>
    <x v="257"/>
    <x v="0"/>
    <d v="2024-11-20T00:00:00"/>
    <x v="1"/>
    <n v="15"/>
    <x v="0"/>
    <s v="Yes"/>
    <x v="0"/>
    <s v="Yes"/>
    <n v="20"/>
    <n v="3"/>
    <n v="62"/>
  </r>
  <r>
    <n v="3500"/>
    <x v="258"/>
    <x v="2"/>
    <d v="2024-11-21T00:00:00"/>
    <x v="0"/>
    <n v="10"/>
    <x v="1"/>
    <s v="No"/>
    <x v="1"/>
    <s v="Yes"/>
    <n v="20"/>
    <n v="15"/>
    <n v="15"/>
  </r>
  <r>
    <n v="3501"/>
    <x v="259"/>
    <x v="1"/>
    <d v="2024-11-22T00:00:00"/>
    <x v="1"/>
    <n v="5"/>
    <x v="0"/>
    <s v="No"/>
    <x v="1"/>
    <s v="No"/>
    <n v="0"/>
    <n v="1"/>
    <n v="4"/>
  </r>
  <r>
    <n v="3502"/>
    <x v="260"/>
    <x v="0"/>
    <d v="2024-11-23T00:00:00"/>
    <x v="0"/>
    <n v="15"/>
    <x v="2"/>
    <s v="Yes"/>
    <x v="0"/>
    <s v="Yes"/>
    <n v="20"/>
    <n v="7"/>
    <n v="58"/>
  </r>
  <r>
    <n v="3503"/>
    <x v="119"/>
    <x v="2"/>
    <d v="2024-11-24T00:00:00"/>
    <x v="1"/>
    <n v="10"/>
    <x v="0"/>
    <s v="No"/>
    <x v="1"/>
    <s v="Yes"/>
    <n v="20"/>
    <n v="10"/>
    <n v="20"/>
  </r>
  <r>
    <n v="3504"/>
    <x v="261"/>
    <x v="1"/>
    <d v="2024-11-25T00:00:00"/>
    <x v="0"/>
    <n v="5"/>
    <x v="1"/>
    <s v="No"/>
    <x v="1"/>
    <s v="No"/>
    <n v="0"/>
    <n v="0"/>
    <n v="5"/>
  </r>
  <r>
    <n v="3505"/>
    <x v="262"/>
    <x v="0"/>
    <d v="2024-11-26T00:00:00"/>
    <x v="1"/>
    <n v="15"/>
    <x v="0"/>
    <s v="Yes"/>
    <x v="0"/>
    <s v="Yes"/>
    <n v="20"/>
    <n v="20"/>
    <n v="45"/>
  </r>
  <r>
    <n v="3506"/>
    <x v="263"/>
    <x v="2"/>
    <d v="2024-11-27T00:00:00"/>
    <x v="0"/>
    <n v="10"/>
    <x v="2"/>
    <s v="No"/>
    <x v="1"/>
    <s v="Yes"/>
    <n v="20"/>
    <n v="15"/>
    <n v="15"/>
  </r>
  <r>
    <n v="3507"/>
    <x v="264"/>
    <x v="1"/>
    <d v="2024-11-28T00:00:00"/>
    <x v="1"/>
    <n v="5"/>
    <x v="0"/>
    <s v="No"/>
    <x v="1"/>
    <s v="No"/>
    <n v="0"/>
    <n v="1"/>
    <n v="4"/>
  </r>
  <r>
    <n v="3508"/>
    <x v="265"/>
    <x v="0"/>
    <d v="2024-11-29T00:00:00"/>
    <x v="0"/>
    <n v="15"/>
    <x v="1"/>
    <s v="Yes"/>
    <x v="0"/>
    <s v="Yes"/>
    <n v="20"/>
    <n v="3"/>
    <n v="62"/>
  </r>
  <r>
    <n v="3509"/>
    <x v="266"/>
    <x v="2"/>
    <d v="2024-11-30T00:00:00"/>
    <x v="1"/>
    <n v="10"/>
    <x v="0"/>
    <s v="No"/>
    <x v="1"/>
    <s v="Yes"/>
    <n v="20"/>
    <n v="10"/>
    <n v="20"/>
  </r>
  <r>
    <n v="3510"/>
    <x v="267"/>
    <x v="1"/>
    <d v="2024-12-01T00:00:00"/>
    <x v="0"/>
    <n v="5"/>
    <x v="2"/>
    <s v="No"/>
    <x v="1"/>
    <s v="No"/>
    <n v="0"/>
    <n v="0"/>
    <n v="5"/>
  </r>
  <r>
    <n v="3511"/>
    <x v="268"/>
    <x v="0"/>
    <d v="2024-12-02T00:00:00"/>
    <x v="1"/>
    <n v="15"/>
    <x v="0"/>
    <s v="Yes"/>
    <x v="0"/>
    <s v="Yes"/>
    <n v="20"/>
    <n v="15"/>
    <n v="50"/>
  </r>
  <r>
    <n v="3512"/>
    <x v="269"/>
    <x v="2"/>
    <d v="2024-12-03T00:00:00"/>
    <x v="0"/>
    <n v="10"/>
    <x v="1"/>
    <s v="No"/>
    <x v="1"/>
    <s v="Yes"/>
    <n v="20"/>
    <n v="15"/>
    <n v="15"/>
  </r>
  <r>
    <n v="3513"/>
    <x v="270"/>
    <x v="1"/>
    <d v="2024-12-04T00:00:00"/>
    <x v="1"/>
    <n v="5"/>
    <x v="0"/>
    <s v="No"/>
    <x v="1"/>
    <s v="No"/>
    <n v="0"/>
    <n v="1"/>
    <n v="4"/>
  </r>
  <r>
    <n v="3514"/>
    <x v="271"/>
    <x v="0"/>
    <d v="2024-12-05T00:00:00"/>
    <x v="0"/>
    <n v="15"/>
    <x v="2"/>
    <s v="Yes"/>
    <x v="0"/>
    <s v="Yes"/>
    <n v="20"/>
    <n v="7"/>
    <n v="58"/>
  </r>
  <r>
    <n v="3515"/>
    <x v="130"/>
    <x v="2"/>
    <d v="2024-12-06T00:00:00"/>
    <x v="1"/>
    <n v="10"/>
    <x v="0"/>
    <s v="No"/>
    <x v="1"/>
    <s v="Yes"/>
    <n v="20"/>
    <n v="10"/>
    <n v="20"/>
  </r>
  <r>
    <n v="3516"/>
    <x v="131"/>
    <x v="1"/>
    <d v="2024-12-07T00:00:00"/>
    <x v="0"/>
    <n v="5"/>
    <x v="1"/>
    <s v="No"/>
    <x v="1"/>
    <s v="No"/>
    <n v="0"/>
    <n v="0"/>
    <n v="5"/>
  </r>
  <r>
    <n v="3517"/>
    <x v="181"/>
    <x v="0"/>
    <d v="2024-12-08T00:00:00"/>
    <x v="1"/>
    <n v="15"/>
    <x v="0"/>
    <s v="Yes"/>
    <x v="0"/>
    <s v="Yes"/>
    <n v="20"/>
    <n v="20"/>
    <n v="45"/>
  </r>
  <r>
    <n v="3518"/>
    <x v="272"/>
    <x v="2"/>
    <d v="2024-12-09T00:00:00"/>
    <x v="0"/>
    <n v="10"/>
    <x v="2"/>
    <s v="No"/>
    <x v="1"/>
    <s v="Yes"/>
    <n v="20"/>
    <n v="12"/>
    <n v="18"/>
  </r>
  <r>
    <n v="3519"/>
    <x v="273"/>
    <x v="1"/>
    <d v="2024-12-10T00:00:00"/>
    <x v="1"/>
    <n v="5"/>
    <x v="0"/>
    <s v="No"/>
    <x v="1"/>
    <s v="No"/>
    <n v="0"/>
    <n v="2"/>
    <n v="3"/>
  </r>
  <r>
    <n v="3520"/>
    <x v="274"/>
    <x v="0"/>
    <d v="2024-12-11T00:00:00"/>
    <x v="0"/>
    <n v="15"/>
    <x v="1"/>
    <s v="Yes"/>
    <x v="0"/>
    <s v="Yes"/>
    <n v="20"/>
    <n v="5"/>
    <n v="60"/>
  </r>
  <r>
    <n v="3521"/>
    <x v="275"/>
    <x v="2"/>
    <d v="2024-12-12T00:00:00"/>
    <x v="1"/>
    <n v="10"/>
    <x v="0"/>
    <s v="No"/>
    <x v="1"/>
    <s v="Yes"/>
    <n v="20"/>
    <n v="10"/>
    <n v="20"/>
  </r>
  <r>
    <n v="3522"/>
    <x v="276"/>
    <x v="1"/>
    <d v="2024-12-13T00:00:00"/>
    <x v="0"/>
    <n v="5"/>
    <x v="2"/>
    <s v="No"/>
    <x v="1"/>
    <s v="No"/>
    <n v="0"/>
    <n v="0"/>
    <n v="5"/>
  </r>
  <r>
    <n v="3523"/>
    <x v="277"/>
    <x v="0"/>
    <d v="2024-12-14T00:00:00"/>
    <x v="1"/>
    <n v="15"/>
    <x v="0"/>
    <s v="Yes"/>
    <x v="0"/>
    <s v="Yes"/>
    <n v="20"/>
    <n v="3"/>
    <n v="62"/>
  </r>
  <r>
    <n v="3524"/>
    <x v="278"/>
    <x v="2"/>
    <d v="2024-12-15T00:00:00"/>
    <x v="0"/>
    <n v="10"/>
    <x v="1"/>
    <s v="No"/>
    <x v="1"/>
    <s v="Yes"/>
    <n v="20"/>
    <n v="15"/>
    <n v="15"/>
  </r>
  <r>
    <n v="3525"/>
    <x v="279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FFD6C7-A67F-40DE-B9C8-E7295BAB3938}" name="Tabela dinâmica3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B31:C35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h="1"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1854F2-ED97-48EC-8A92-807C9A59FBC0}" name="Tbl_easeassonpass_total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B21:C25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h="1" x="1"/>
        <item x="0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3517D0-D52F-4C3A-98DD-5B65A50D47CB}" name="Tbl_anual_total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B8:C11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h="1"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 numFmtId="44"/>
  </dataFields>
  <chartFormats count="3"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3FC66F7E-BB47-46D2-8FCD-444A8B87F78C}" sourceName="Subscription Type">
  <pivotTables>
    <pivotTable tabId="3" name="Tbl_anual_total"/>
    <pivotTable tabId="3" name="Tbl_easeassonpass_total"/>
    <pivotTable tabId="3" name="Tabela dinâmica3"/>
  </pivotTables>
  <data>
    <tabular pivotCacheId="713169204">
      <items count="3">
        <i x="1"/>
        <i x="0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3007AF9E-497B-4D56-901B-1CA10E633E5F}" cache="SegmentaçãodeDados_Subscription_Type" caption="Subscription Type" style="SlicerStyleLight6 2" rowHeight="2476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5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14"/>
    <tableColumn id="2" xr3:uid="{53DD39D0-2220-4121-9E9D-4EAA7E151C0F}" name="Name" dataDxfId="13"/>
    <tableColumn id="3" xr3:uid="{4F5FF271-4C57-4BE0-8F2C-F82C8551625C}" name="Plan" dataDxfId="12"/>
    <tableColumn id="4" xr3:uid="{8C17EB93-79B9-4E55-B8F7-BEB82F8253E9}" name="Start Date" dataDxfId="11"/>
    <tableColumn id="5" xr3:uid="{48CEDF9B-1689-482A-A828-5CCE7713264A}" name="Auto Renewal" dataDxfId="10"/>
    <tableColumn id="6" xr3:uid="{78B82374-9AA7-4E38-AE4F-78CDE6C83720}" name="Subscription Price" dataDxfId="9" dataCellStyle="Moeda"/>
    <tableColumn id="7" xr3:uid="{F2433F68-AF33-49D0-B1FB-19A396074EDE}" name="Subscription Type" dataDxfId="8"/>
    <tableColumn id="8" xr3:uid="{FD4D9C95-F6E5-4933-9068-A71FF7DF9343}" name="EA Play Season Pass" dataDxfId="7"/>
    <tableColumn id="13" xr3:uid="{978DD0D2-834E-4CE4-A39B-30976086932F}" name="EA Play Season Pass_x000a_Price" dataDxfId="6" dataCellStyle="Moeda"/>
    <tableColumn id="9" xr3:uid="{6E29F111-C395-4580-9DAD-3407D9E8B1A4}" name="Minecraft Season Pass" dataDxfId="5"/>
    <tableColumn id="10" xr3:uid="{EF544EAA-7F25-4FD5-A10E-8E62804DB9E3}" name="Minecraft Season Pass Price" dataDxfId="4" dataCellStyle="Moeda"/>
    <tableColumn id="11" xr3:uid="{7F6EB64A-1F07-4E48-9F0F-AC7D9DCD26F8}" name="Coupon Value" dataDxfId="3" dataCellStyle="Moeda"/>
    <tableColumn id="12" xr3:uid="{2B04ABC8-DE6F-426E-ADC0-D8AFC68CA58E}" name="Total Value" dataDxfId="2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9" zoomScaleNormal="100" workbookViewId="0">
      <selection activeCell="E35" sqref="E35"/>
    </sheetView>
  </sheetViews>
  <sheetFormatPr defaultRowHeight="14.4" x14ac:dyDescent="0.3"/>
  <cols>
    <col min="9" max="9" width="3.5546875" customWidth="1"/>
  </cols>
  <sheetData>
    <row r="3" spans="2:16" ht="20.399999999999999" thickBot="1" x14ac:dyDescent="0.45">
      <c r="B3" s="1" t="s">
        <v>0</v>
      </c>
      <c r="C3" s="1"/>
      <c r="D3" s="1"/>
      <c r="E3" s="1"/>
      <c r="F3" s="1"/>
      <c r="G3" s="1"/>
      <c r="H3" s="1"/>
    </row>
    <row r="4" spans="2:16" ht="15" thickTop="1" x14ac:dyDescent="0.3"/>
    <row r="5" spans="2:16" x14ac:dyDescent="0.3">
      <c r="B5" s="3" t="s">
        <v>2</v>
      </c>
      <c r="C5" t="s">
        <v>8</v>
      </c>
      <c r="E5" s="7" t="s">
        <v>6</v>
      </c>
      <c r="F5" t="s">
        <v>7</v>
      </c>
    </row>
    <row r="6" spans="2:16" x14ac:dyDescent="0.3">
      <c r="B6" s="4" t="s">
        <v>3</v>
      </c>
      <c r="C6" t="s">
        <v>8</v>
      </c>
    </row>
    <row r="7" spans="2:16" x14ac:dyDescent="0.3">
      <c r="B7" s="5" t="s">
        <v>4</v>
      </c>
      <c r="C7" t="s">
        <v>9</v>
      </c>
    </row>
    <row r="8" spans="2:16" x14ac:dyDescent="0.3">
      <c r="B8" s="6" t="s">
        <v>5</v>
      </c>
      <c r="C8" t="s">
        <v>9</v>
      </c>
    </row>
    <row r="12" spans="2:16" ht="20.399999999999999" thickBot="1" x14ac:dyDescent="0.4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" thickTop="1" x14ac:dyDescent="0.3">
      <c r="B13" s="2"/>
      <c r="C13" s="2"/>
      <c r="D13" s="2"/>
      <c r="E13" s="2"/>
      <c r="F13" s="2"/>
      <c r="G13" s="2"/>
      <c r="H13" s="2"/>
    </row>
    <row r="14" spans="2:16" x14ac:dyDescent="0.3">
      <c r="B14" s="2"/>
      <c r="C14" s="2"/>
      <c r="D14" s="2"/>
      <c r="E14" s="2"/>
      <c r="F14" s="2"/>
      <c r="G14" s="2"/>
      <c r="H14" s="2"/>
    </row>
    <row r="15" spans="2:16" x14ac:dyDescent="0.3">
      <c r="B15" s="2"/>
      <c r="C15" s="2"/>
      <c r="D15" s="2"/>
      <c r="E15" s="2"/>
      <c r="F15" s="2"/>
      <c r="G15" s="2"/>
      <c r="H15" s="2"/>
    </row>
    <row r="16" spans="2:16" x14ac:dyDescent="0.3">
      <c r="B16" s="2"/>
      <c r="C16" s="2"/>
      <c r="D16" s="2"/>
      <c r="E16" s="2"/>
      <c r="F16" s="2"/>
      <c r="G16" s="2"/>
      <c r="H16" s="2"/>
    </row>
    <row r="17" spans="2:8" x14ac:dyDescent="0.3">
      <c r="B17" s="2"/>
      <c r="C17" s="2"/>
      <c r="D17" s="2"/>
      <c r="E17" s="2"/>
      <c r="F17" s="2"/>
      <c r="G17" s="2"/>
      <c r="H17" s="2"/>
    </row>
    <row r="18" spans="2:8" x14ac:dyDescent="0.3">
      <c r="B18" s="2"/>
      <c r="C18" s="2"/>
      <c r="D18" s="2"/>
      <c r="E18" s="2"/>
      <c r="F18" s="2"/>
      <c r="G18" s="2"/>
      <c r="H18" s="2"/>
    </row>
    <row r="19" spans="2:8" x14ac:dyDescent="0.3">
      <c r="B19" s="2"/>
      <c r="C19" s="2"/>
      <c r="D19" s="2"/>
      <c r="E19" s="2"/>
      <c r="F19" s="2"/>
      <c r="G19" s="2"/>
      <c r="H19" s="2"/>
    </row>
    <row r="20" spans="2:8" x14ac:dyDescent="0.3">
      <c r="B20" s="2"/>
      <c r="C20" s="2"/>
      <c r="D20" s="2"/>
      <c r="E20" s="2"/>
      <c r="F20" s="2"/>
      <c r="G20" s="2"/>
      <c r="H20" s="2"/>
    </row>
    <row r="21" spans="2:8" x14ac:dyDescent="0.3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opLeftCell="A2" zoomScale="90" zoomScaleNormal="90" workbookViewId="0">
      <selection activeCell="E35" sqref="E35"/>
    </sheetView>
  </sheetViews>
  <sheetFormatPr defaultRowHeight="14.4" x14ac:dyDescent="0.3"/>
  <cols>
    <col min="1" max="1" width="17.88671875" bestFit="1" customWidth="1"/>
    <col min="2" max="2" width="18.88671875" bestFit="1" customWidth="1"/>
    <col min="3" max="3" width="11.5546875" customWidth="1"/>
    <col min="4" max="4" width="14.5546875" bestFit="1" customWidth="1"/>
    <col min="5" max="5" width="18" bestFit="1" customWidth="1"/>
    <col min="6" max="6" width="14.6640625" bestFit="1" customWidth="1"/>
    <col min="7" max="7" width="22" bestFit="1" customWidth="1"/>
    <col min="8" max="8" width="20.5546875" bestFit="1" customWidth="1"/>
    <col min="9" max="9" width="20.5546875" customWidth="1"/>
    <col min="10" max="10" width="16.6640625" bestFit="1" customWidth="1"/>
    <col min="11" max="11" width="21.33203125" bestFit="1" customWidth="1"/>
    <col min="12" max="12" width="12.6640625" bestFit="1" customWidth="1"/>
    <col min="13" max="13" width="10.5546875" bestFit="1" customWidth="1"/>
  </cols>
  <sheetData>
    <row r="1" spans="1:13" ht="28.8" x14ac:dyDescent="0.3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3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hidden="1" customHeight="1" x14ac:dyDescent="0.3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hidden="1" customHeight="1" x14ac:dyDescent="0.3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3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hidden="1" customHeight="1" x14ac:dyDescent="0.3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hidden="1" customHeight="1" x14ac:dyDescent="0.3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3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hidden="1" customHeight="1" x14ac:dyDescent="0.3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3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hidden="1" customHeight="1" x14ac:dyDescent="0.3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hidden="1" customHeight="1" x14ac:dyDescent="0.3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3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hidden="1" customHeight="1" x14ac:dyDescent="0.3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hidden="1" customHeight="1" x14ac:dyDescent="0.3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3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hidden="1" customHeight="1" x14ac:dyDescent="0.3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hidden="1" customHeight="1" x14ac:dyDescent="0.3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3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hidden="1" customHeight="1" x14ac:dyDescent="0.3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hidden="1" customHeight="1" x14ac:dyDescent="0.3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3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hidden="1" customHeight="1" x14ac:dyDescent="0.3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hidden="1" customHeight="1" x14ac:dyDescent="0.3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3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hidden="1" customHeight="1" x14ac:dyDescent="0.3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hidden="1" customHeight="1" x14ac:dyDescent="0.3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3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hidden="1" customHeight="1" x14ac:dyDescent="0.3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hidden="1" customHeight="1" x14ac:dyDescent="0.3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3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hidden="1" customHeight="1" x14ac:dyDescent="0.3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hidden="1" customHeight="1" x14ac:dyDescent="0.3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3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hidden="1" customHeight="1" x14ac:dyDescent="0.3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hidden="1" customHeight="1" x14ac:dyDescent="0.3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hidden="1" customHeight="1" x14ac:dyDescent="0.3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3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hidden="1" customHeight="1" x14ac:dyDescent="0.3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hidden="1" customHeight="1" x14ac:dyDescent="0.3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3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hidden="1" customHeight="1" x14ac:dyDescent="0.3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hidden="1" customHeight="1" x14ac:dyDescent="0.3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3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hidden="1" customHeight="1" x14ac:dyDescent="0.3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hidden="1" customHeight="1" x14ac:dyDescent="0.3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3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hidden="1" customHeight="1" x14ac:dyDescent="0.3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hidden="1" customHeight="1" x14ac:dyDescent="0.3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3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hidden="1" customHeight="1" x14ac:dyDescent="0.3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hidden="1" customHeight="1" x14ac:dyDescent="0.3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3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hidden="1" customHeight="1" x14ac:dyDescent="0.3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hidden="1" customHeight="1" x14ac:dyDescent="0.3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3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hidden="1" customHeight="1" x14ac:dyDescent="0.3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hidden="1" customHeight="1" x14ac:dyDescent="0.3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3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hidden="1" customHeight="1" x14ac:dyDescent="0.3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hidden="1" customHeight="1" x14ac:dyDescent="0.3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3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hidden="1" customHeight="1" x14ac:dyDescent="0.3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hidden="1" customHeight="1" x14ac:dyDescent="0.3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3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hidden="1" customHeight="1" x14ac:dyDescent="0.3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hidden="1" customHeight="1" x14ac:dyDescent="0.3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3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hidden="1" customHeight="1" x14ac:dyDescent="0.3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hidden="1" customHeight="1" x14ac:dyDescent="0.3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3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hidden="1" customHeight="1" x14ac:dyDescent="0.3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hidden="1" customHeight="1" x14ac:dyDescent="0.3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3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hidden="1" customHeight="1" x14ac:dyDescent="0.3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hidden="1" customHeight="1" x14ac:dyDescent="0.3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3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hidden="1" customHeight="1" x14ac:dyDescent="0.3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hidden="1" customHeight="1" x14ac:dyDescent="0.3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3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hidden="1" customHeight="1" x14ac:dyDescent="0.3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hidden="1" customHeight="1" x14ac:dyDescent="0.3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3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hidden="1" customHeight="1" x14ac:dyDescent="0.3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hidden="1" customHeight="1" x14ac:dyDescent="0.3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3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hidden="1" customHeight="1" x14ac:dyDescent="0.3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hidden="1" customHeight="1" x14ac:dyDescent="0.3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3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hidden="1" customHeight="1" x14ac:dyDescent="0.3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hidden="1" customHeight="1" x14ac:dyDescent="0.3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3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hidden="1" customHeight="1" x14ac:dyDescent="0.3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hidden="1" customHeight="1" x14ac:dyDescent="0.3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3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hidden="1" customHeight="1" x14ac:dyDescent="0.3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hidden="1" customHeight="1" x14ac:dyDescent="0.3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3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hidden="1" customHeight="1" x14ac:dyDescent="0.3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hidden="1" customHeight="1" x14ac:dyDescent="0.3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3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hidden="1" customHeight="1" x14ac:dyDescent="0.3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hidden="1" customHeight="1" x14ac:dyDescent="0.3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3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hidden="1" customHeight="1" x14ac:dyDescent="0.3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hidden="1" customHeight="1" x14ac:dyDescent="0.3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hidden="1" customHeight="1" x14ac:dyDescent="0.3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3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hidden="1" customHeight="1" x14ac:dyDescent="0.3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hidden="1" customHeight="1" x14ac:dyDescent="0.3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3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hidden="1" customHeight="1" x14ac:dyDescent="0.3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hidden="1" customHeight="1" x14ac:dyDescent="0.3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3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hidden="1" customHeight="1" x14ac:dyDescent="0.3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hidden="1" customHeight="1" x14ac:dyDescent="0.3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3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hidden="1" customHeight="1" x14ac:dyDescent="0.3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hidden="1" customHeight="1" x14ac:dyDescent="0.3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3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hidden="1" customHeight="1" x14ac:dyDescent="0.3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hidden="1" customHeight="1" x14ac:dyDescent="0.3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3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hidden="1" customHeight="1" x14ac:dyDescent="0.3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hidden="1" customHeight="1" x14ac:dyDescent="0.3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3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hidden="1" customHeight="1" x14ac:dyDescent="0.3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hidden="1" customHeight="1" x14ac:dyDescent="0.3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3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hidden="1" customHeight="1" x14ac:dyDescent="0.3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hidden="1" customHeight="1" x14ac:dyDescent="0.3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3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hidden="1" customHeight="1" x14ac:dyDescent="0.3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hidden="1" customHeight="1" x14ac:dyDescent="0.3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3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hidden="1" customHeight="1" x14ac:dyDescent="0.3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hidden="1" customHeight="1" x14ac:dyDescent="0.3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3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hidden="1" customHeight="1" x14ac:dyDescent="0.3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hidden="1" customHeight="1" x14ac:dyDescent="0.3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3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hidden="1" customHeight="1" x14ac:dyDescent="0.3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hidden="1" customHeight="1" x14ac:dyDescent="0.3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3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hidden="1" customHeight="1" x14ac:dyDescent="0.3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hidden="1" customHeight="1" x14ac:dyDescent="0.3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3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hidden="1" customHeight="1" x14ac:dyDescent="0.3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hidden="1" customHeight="1" x14ac:dyDescent="0.3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3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hidden="1" customHeight="1" x14ac:dyDescent="0.3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hidden="1" customHeight="1" x14ac:dyDescent="0.3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3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hidden="1" customHeight="1" x14ac:dyDescent="0.3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hidden="1" customHeight="1" x14ac:dyDescent="0.3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3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hidden="1" customHeight="1" x14ac:dyDescent="0.3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hidden="1" customHeight="1" x14ac:dyDescent="0.3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3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hidden="1" customHeight="1" x14ac:dyDescent="0.3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hidden="1" customHeight="1" x14ac:dyDescent="0.3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3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hidden="1" customHeight="1" x14ac:dyDescent="0.3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hidden="1" customHeight="1" x14ac:dyDescent="0.3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3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hidden="1" customHeight="1" x14ac:dyDescent="0.3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hidden="1" customHeight="1" x14ac:dyDescent="0.3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3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hidden="1" customHeight="1" x14ac:dyDescent="0.3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hidden="1" customHeight="1" x14ac:dyDescent="0.3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3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hidden="1" customHeight="1" x14ac:dyDescent="0.3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hidden="1" customHeight="1" x14ac:dyDescent="0.3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3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hidden="1" customHeight="1" x14ac:dyDescent="0.3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hidden="1" customHeight="1" x14ac:dyDescent="0.3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hidden="1" customHeight="1" x14ac:dyDescent="0.3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3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hidden="1" customHeight="1" x14ac:dyDescent="0.3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hidden="1" customHeight="1" x14ac:dyDescent="0.3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3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hidden="1" customHeight="1" x14ac:dyDescent="0.3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hidden="1" customHeight="1" x14ac:dyDescent="0.3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3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hidden="1" customHeight="1" x14ac:dyDescent="0.3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hidden="1" customHeight="1" x14ac:dyDescent="0.3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3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hidden="1" customHeight="1" x14ac:dyDescent="0.3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hidden="1" customHeight="1" x14ac:dyDescent="0.3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3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hidden="1" customHeight="1" x14ac:dyDescent="0.3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hidden="1" customHeight="1" x14ac:dyDescent="0.3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3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hidden="1" customHeight="1" x14ac:dyDescent="0.3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hidden="1" customHeight="1" x14ac:dyDescent="0.3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3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hidden="1" customHeight="1" x14ac:dyDescent="0.3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hidden="1" customHeight="1" x14ac:dyDescent="0.3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3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hidden="1" customHeight="1" x14ac:dyDescent="0.3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hidden="1" customHeight="1" x14ac:dyDescent="0.3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3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hidden="1" customHeight="1" x14ac:dyDescent="0.3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hidden="1" customHeight="1" x14ac:dyDescent="0.3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3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hidden="1" customHeight="1" x14ac:dyDescent="0.3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hidden="1" customHeight="1" x14ac:dyDescent="0.3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3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hidden="1" customHeight="1" x14ac:dyDescent="0.3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hidden="1" customHeight="1" x14ac:dyDescent="0.3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3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hidden="1" customHeight="1" x14ac:dyDescent="0.3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hidden="1" customHeight="1" x14ac:dyDescent="0.3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3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hidden="1" customHeight="1" x14ac:dyDescent="0.3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hidden="1" customHeight="1" x14ac:dyDescent="0.3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3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hidden="1" customHeight="1" x14ac:dyDescent="0.3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hidden="1" customHeight="1" x14ac:dyDescent="0.3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3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hidden="1" customHeight="1" x14ac:dyDescent="0.3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hidden="1" customHeight="1" x14ac:dyDescent="0.3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3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hidden="1" customHeight="1" x14ac:dyDescent="0.3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hidden="1" customHeight="1" x14ac:dyDescent="0.3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3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hidden="1" customHeight="1" x14ac:dyDescent="0.3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hidden="1" customHeight="1" x14ac:dyDescent="0.3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3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hidden="1" customHeight="1" x14ac:dyDescent="0.3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hidden="1" customHeight="1" x14ac:dyDescent="0.3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3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hidden="1" customHeight="1" x14ac:dyDescent="0.3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hidden="1" customHeight="1" x14ac:dyDescent="0.3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3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hidden="1" customHeight="1" x14ac:dyDescent="0.3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hidden="1" customHeight="1" x14ac:dyDescent="0.3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3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hidden="1" customHeight="1" x14ac:dyDescent="0.3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hidden="1" customHeight="1" x14ac:dyDescent="0.3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3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hidden="1" customHeight="1" x14ac:dyDescent="0.3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hidden="1" customHeight="1" x14ac:dyDescent="0.3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3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hidden="1" customHeight="1" x14ac:dyDescent="0.3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hidden="1" customHeight="1" x14ac:dyDescent="0.3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3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hidden="1" customHeight="1" x14ac:dyDescent="0.3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hidden="1" customHeight="1" x14ac:dyDescent="0.3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3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hidden="1" customHeight="1" x14ac:dyDescent="0.3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hidden="1" customHeight="1" x14ac:dyDescent="0.3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3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hidden="1" customHeight="1" x14ac:dyDescent="0.3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hidden="1" customHeight="1" x14ac:dyDescent="0.3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3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hidden="1" customHeight="1" x14ac:dyDescent="0.3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3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hidden="1" customHeight="1" x14ac:dyDescent="0.3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hidden="1" customHeight="1" x14ac:dyDescent="0.3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3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hidden="1" customHeight="1" x14ac:dyDescent="0.3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hidden="1" customHeight="1" x14ac:dyDescent="0.3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3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hidden="1" customHeight="1" x14ac:dyDescent="0.3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hidden="1" customHeight="1" x14ac:dyDescent="0.3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3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hidden="1" customHeight="1" x14ac:dyDescent="0.3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hidden="1" customHeight="1" x14ac:dyDescent="0.3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3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hidden="1" customHeight="1" x14ac:dyDescent="0.3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hidden="1" customHeight="1" x14ac:dyDescent="0.3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3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hidden="1" customHeight="1" x14ac:dyDescent="0.3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hidden="1" customHeight="1" x14ac:dyDescent="0.3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3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hidden="1" customHeight="1" x14ac:dyDescent="0.3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hidden="1" customHeight="1" x14ac:dyDescent="0.3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3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hidden="1" customHeight="1" x14ac:dyDescent="0.3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hidden="1" customHeight="1" x14ac:dyDescent="0.3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3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hidden="1" customHeight="1" x14ac:dyDescent="0.3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hidden="1" customHeight="1" x14ac:dyDescent="0.3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3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hidden="1" customHeight="1" x14ac:dyDescent="0.3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hidden="1" customHeight="1" x14ac:dyDescent="0.3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3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hidden="1" customHeight="1" x14ac:dyDescent="0.3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hidden="1" customHeight="1" x14ac:dyDescent="0.3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3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hidden="1" customHeight="1" x14ac:dyDescent="0.3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hidden="1" customHeight="1" x14ac:dyDescent="0.3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3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hidden="1" customHeight="1" x14ac:dyDescent="0.3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hidden="1" customHeight="1" x14ac:dyDescent="0.3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3:F35"/>
  <sheetViews>
    <sheetView showGridLines="0" topLeftCell="A16" workbookViewId="0">
      <selection activeCell="E35" sqref="E35"/>
    </sheetView>
  </sheetViews>
  <sheetFormatPr defaultRowHeight="14.4" x14ac:dyDescent="0.3"/>
  <cols>
    <col min="2" max="2" width="16.77734375" bestFit="1" customWidth="1"/>
    <col min="3" max="3" width="32.21875" bestFit="1" customWidth="1"/>
    <col min="4" max="4" width="34.5546875" bestFit="1" customWidth="1"/>
    <col min="5" max="5" width="6.33203125" customWidth="1"/>
    <col min="6" max="6" width="19.109375" bestFit="1" customWidth="1"/>
    <col min="7" max="7" width="27.6640625" bestFit="1" customWidth="1"/>
    <col min="8" max="8" width="5.44140625" customWidth="1"/>
    <col min="9" max="9" width="21.109375" bestFit="1" customWidth="1"/>
    <col min="10" max="11" width="35.109375" bestFit="1" customWidth="1"/>
    <col min="12" max="15" width="9.6640625" bestFit="1" customWidth="1"/>
    <col min="16" max="16" width="15.5546875" bestFit="1" customWidth="1"/>
    <col min="17" max="17" width="12.109375" bestFit="1" customWidth="1"/>
  </cols>
  <sheetData>
    <row r="3" spans="2:3" x14ac:dyDescent="0.3">
      <c r="B3" t="s">
        <v>316</v>
      </c>
    </row>
    <row r="4" spans="2:3" x14ac:dyDescent="0.3">
      <c r="B4" t="s">
        <v>319</v>
      </c>
    </row>
    <row r="6" spans="2:3" x14ac:dyDescent="0.3">
      <c r="B6" s="13" t="s">
        <v>16</v>
      </c>
      <c r="C6" t="s">
        <v>322</v>
      </c>
    </row>
    <row r="8" spans="2:3" x14ac:dyDescent="0.3">
      <c r="B8" s="13" t="s">
        <v>314</v>
      </c>
      <c r="C8" t="s">
        <v>313</v>
      </c>
    </row>
    <row r="9" spans="2:3" x14ac:dyDescent="0.3">
      <c r="B9" s="14" t="s">
        <v>23</v>
      </c>
      <c r="C9" s="12">
        <v>3630</v>
      </c>
    </row>
    <row r="10" spans="2:3" x14ac:dyDescent="0.3">
      <c r="B10" s="14" t="s">
        <v>19</v>
      </c>
      <c r="C10" s="12">
        <v>2249</v>
      </c>
    </row>
    <row r="11" spans="2:3" x14ac:dyDescent="0.3">
      <c r="B11" s="14" t="s">
        <v>315</v>
      </c>
      <c r="C11" s="12">
        <v>5879</v>
      </c>
    </row>
    <row r="14" spans="2:3" x14ac:dyDescent="0.3">
      <c r="B14" s="14" t="s">
        <v>317</v>
      </c>
    </row>
    <row r="17" spans="2:6" hidden="1" x14ac:dyDescent="0.3"/>
    <row r="19" spans="2:6" x14ac:dyDescent="0.3">
      <c r="B19" s="13" t="s">
        <v>16</v>
      </c>
      <c r="C19" t="s">
        <v>322</v>
      </c>
    </row>
    <row r="21" spans="2:6" x14ac:dyDescent="0.3">
      <c r="B21" s="13" t="s">
        <v>314</v>
      </c>
      <c r="C21" t="s">
        <v>318</v>
      </c>
    </row>
    <row r="22" spans="2:6" x14ac:dyDescent="0.3">
      <c r="B22" s="14" t="s">
        <v>22</v>
      </c>
      <c r="C22" s="15">
        <v>0</v>
      </c>
    </row>
    <row r="23" spans="2:6" x14ac:dyDescent="0.3">
      <c r="B23" s="14" t="s">
        <v>26</v>
      </c>
      <c r="C23" s="15">
        <v>0</v>
      </c>
    </row>
    <row r="24" spans="2:6" x14ac:dyDescent="0.3">
      <c r="B24" s="14" t="s">
        <v>18</v>
      </c>
      <c r="C24" s="15">
        <v>2340</v>
      </c>
    </row>
    <row r="25" spans="2:6" x14ac:dyDescent="0.3">
      <c r="B25" s="14" t="s">
        <v>315</v>
      </c>
      <c r="C25" s="15">
        <v>2340</v>
      </c>
      <c r="F25" s="18">
        <f>GETPIVOTDATA("EA Play Season Pass
Price",$B$21)</f>
        <v>2340</v>
      </c>
    </row>
    <row r="27" spans="2:6" x14ac:dyDescent="0.3">
      <c r="B27" s="14" t="s">
        <v>320</v>
      </c>
    </row>
    <row r="29" spans="2:6" x14ac:dyDescent="0.3">
      <c r="B29" s="13" t="s">
        <v>16</v>
      </c>
      <c r="C29" t="s">
        <v>322</v>
      </c>
    </row>
    <row r="31" spans="2:6" x14ac:dyDescent="0.3">
      <c r="B31" s="13" t="s">
        <v>314</v>
      </c>
      <c r="C31" t="s">
        <v>321</v>
      </c>
    </row>
    <row r="32" spans="2:6" x14ac:dyDescent="0.3">
      <c r="B32" s="14" t="s">
        <v>22</v>
      </c>
      <c r="C32" s="12">
        <v>0</v>
      </c>
    </row>
    <row r="33" spans="2:6" x14ac:dyDescent="0.3">
      <c r="B33" s="14" t="s">
        <v>26</v>
      </c>
      <c r="C33" s="12">
        <v>1380</v>
      </c>
    </row>
    <row r="34" spans="2:6" x14ac:dyDescent="0.3">
      <c r="B34" s="14" t="s">
        <v>18</v>
      </c>
      <c r="C34" s="12">
        <v>1560</v>
      </c>
    </row>
    <row r="35" spans="2:6" x14ac:dyDescent="0.3">
      <c r="B35" s="14" t="s">
        <v>315</v>
      </c>
      <c r="C35" s="12">
        <v>2940</v>
      </c>
      <c r="F35" s="19">
        <f>GETPIVOTDATA("Minecraft Season Pass Price",$B$31)</f>
        <v>2940</v>
      </c>
    </row>
  </sheetData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X161"/>
  <sheetViews>
    <sheetView showGridLines="0" tabSelected="1" zoomScale="80" zoomScaleNormal="80" workbookViewId="0">
      <selection activeCell="Y21" sqref="Y21"/>
    </sheetView>
  </sheetViews>
  <sheetFormatPr defaultRowHeight="14.4" x14ac:dyDescent="0.3"/>
  <cols>
    <col min="1" max="1" width="20" style="4" customWidth="1"/>
    <col min="2" max="2" width="3.5546875" customWidth="1"/>
    <col min="12" max="12" width="6.5546875" customWidth="1"/>
  </cols>
  <sheetData>
    <row r="2" spans="1:24" ht="36.6" customHeight="1" thickBot="1" x14ac:dyDescent="0.5">
      <c r="C2" s="20" t="s">
        <v>323</v>
      </c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1"/>
      <c r="S2" s="21"/>
      <c r="T2" s="21"/>
      <c r="U2" s="21"/>
    </row>
    <row r="3" spans="1:24" ht="36.6" customHeight="1" thickTop="1" x14ac:dyDescent="0.3"/>
    <row r="4" spans="1:24" s="7" customFormat="1" ht="8.25" customHeight="1" x14ac:dyDescent="0.3">
      <c r="A4" s="4"/>
    </row>
    <row r="5" spans="1:24" s="7" customFormat="1" ht="7.5" customHeight="1" x14ac:dyDescent="0.3">
      <c r="A5" s="4"/>
    </row>
    <row r="6" spans="1:24" s="7" customFormat="1" ht="10.5" customHeight="1" x14ac:dyDescent="0.3">
      <c r="A6" s="4"/>
    </row>
    <row r="7" spans="1:24" s="7" customFormat="1" ht="9.75" customHeight="1" x14ac:dyDescent="0.3">
      <c r="A7" s="4"/>
    </row>
    <row r="8" spans="1:24" s="7" customFormat="1" ht="33" customHeight="1" x14ac:dyDescent="0.3">
      <c r="A8" s="4"/>
    </row>
    <row r="9" spans="1:24" s="7" customFormat="1" x14ac:dyDescent="0.3">
      <c r="A9" s="4"/>
    </row>
    <row r="10" spans="1:24" s="7" customFormat="1" x14ac:dyDescent="0.3">
      <c r="A10" s="4"/>
    </row>
    <row r="11" spans="1:24" s="7" customFormat="1" x14ac:dyDescent="0.3">
      <c r="A11" s="4"/>
    </row>
    <row r="12" spans="1:24" s="7" customFormat="1" ht="18" x14ac:dyDescent="0.35">
      <c r="A12" s="4"/>
      <c r="X12" s="16"/>
    </row>
    <row r="13" spans="1:24" s="7" customFormat="1" x14ac:dyDescent="0.3">
      <c r="A13" s="4"/>
    </row>
    <row r="14" spans="1:24" s="7" customFormat="1" x14ac:dyDescent="0.3">
      <c r="A14" s="4"/>
    </row>
    <row r="15" spans="1:24" s="7" customFormat="1" x14ac:dyDescent="0.3">
      <c r="A15" s="4"/>
    </row>
    <row r="16" spans="1:24" s="7" customFormat="1" x14ac:dyDescent="0.3">
      <c r="A16" s="4"/>
    </row>
    <row r="17" spans="1:13" s="7" customFormat="1" x14ac:dyDescent="0.3">
      <c r="A17" s="4"/>
    </row>
    <row r="18" spans="1:13" s="7" customFormat="1" x14ac:dyDescent="0.3">
      <c r="A18" s="4"/>
    </row>
    <row r="19" spans="1:13" s="7" customFormat="1" x14ac:dyDescent="0.3">
      <c r="A19" s="4"/>
    </row>
    <row r="20" spans="1:13" s="7" customFormat="1" x14ac:dyDescent="0.3">
      <c r="A20" s="4"/>
    </row>
    <row r="21" spans="1:13" s="7" customFormat="1" x14ac:dyDescent="0.3">
      <c r="A21" s="4"/>
    </row>
    <row r="22" spans="1:13" s="7" customFormat="1" x14ac:dyDescent="0.3">
      <c r="A22" s="4"/>
    </row>
    <row r="23" spans="1:13" s="7" customFormat="1" x14ac:dyDescent="0.3">
      <c r="A23" s="4"/>
    </row>
    <row r="24" spans="1:13" s="7" customFormat="1" x14ac:dyDescent="0.3">
      <c r="A24" s="4"/>
    </row>
    <row r="25" spans="1:13" s="7" customFormat="1" x14ac:dyDescent="0.3">
      <c r="A25" s="4"/>
    </row>
    <row r="26" spans="1:13" s="7" customFormat="1" x14ac:dyDescent="0.3">
      <c r="A26" s="4"/>
    </row>
    <row r="27" spans="1:13" s="7" customFormat="1" x14ac:dyDescent="0.3">
      <c r="A27" s="4"/>
    </row>
    <row r="28" spans="1:13" s="7" customFormat="1" x14ac:dyDescent="0.3">
      <c r="A28" s="4"/>
      <c r="M28" s="17"/>
    </row>
    <row r="29" spans="1:13" s="7" customFormat="1" x14ac:dyDescent="0.3">
      <c r="A29" s="4"/>
    </row>
    <row r="30" spans="1:13" s="7" customFormat="1" x14ac:dyDescent="0.3">
      <c r="A30" s="4"/>
    </row>
    <row r="31" spans="1:13" s="7" customFormat="1" x14ac:dyDescent="0.3">
      <c r="A31" s="4"/>
    </row>
    <row r="32" spans="1:13" s="7" customFormat="1" x14ac:dyDescent="0.3">
      <c r="A32" s="4"/>
    </row>
    <row r="33" spans="1:1" s="7" customFormat="1" x14ac:dyDescent="0.3">
      <c r="A33" s="4"/>
    </row>
    <row r="34" spans="1:1" s="7" customFormat="1" x14ac:dyDescent="0.3">
      <c r="A34" s="4"/>
    </row>
    <row r="35" spans="1:1" s="7" customFormat="1" x14ac:dyDescent="0.3">
      <c r="A35" s="4"/>
    </row>
    <row r="36" spans="1:1" s="7" customFormat="1" x14ac:dyDescent="0.3">
      <c r="A36" s="4"/>
    </row>
    <row r="37" spans="1:1" s="7" customFormat="1" x14ac:dyDescent="0.3">
      <c r="A37" s="4"/>
    </row>
    <row r="38" spans="1:1" s="7" customFormat="1" x14ac:dyDescent="0.3">
      <c r="A38" s="4"/>
    </row>
    <row r="39" spans="1:1" s="7" customFormat="1" x14ac:dyDescent="0.3">
      <c r="A39" s="4"/>
    </row>
    <row r="40" spans="1:1" s="7" customFormat="1" x14ac:dyDescent="0.3">
      <c r="A40" s="4"/>
    </row>
    <row r="41" spans="1:1" s="7" customFormat="1" x14ac:dyDescent="0.3">
      <c r="A41" s="4"/>
    </row>
    <row r="42" spans="1:1" s="7" customFormat="1" x14ac:dyDescent="0.3">
      <c r="A42" s="4"/>
    </row>
    <row r="43" spans="1:1" s="7" customFormat="1" x14ac:dyDescent="0.3">
      <c r="A43" s="4"/>
    </row>
    <row r="44" spans="1:1" s="7" customFormat="1" x14ac:dyDescent="0.3">
      <c r="A44" s="4"/>
    </row>
    <row r="45" spans="1:1" s="7" customFormat="1" x14ac:dyDescent="0.3">
      <c r="A45" s="4"/>
    </row>
    <row r="46" spans="1:1" s="7" customFormat="1" x14ac:dyDescent="0.3">
      <c r="A46" s="4"/>
    </row>
    <row r="47" spans="1:1" s="7" customFormat="1" x14ac:dyDescent="0.3">
      <c r="A47" s="4"/>
    </row>
    <row r="48" spans="1:1" s="7" customFormat="1" x14ac:dyDescent="0.3">
      <c r="A48" s="4"/>
    </row>
    <row r="49" spans="1:1" s="7" customFormat="1" x14ac:dyDescent="0.3">
      <c r="A49" s="4"/>
    </row>
    <row r="50" spans="1:1" s="7" customFormat="1" x14ac:dyDescent="0.3">
      <c r="A50" s="4"/>
    </row>
    <row r="51" spans="1:1" s="7" customFormat="1" x14ac:dyDescent="0.3">
      <c r="A51" s="4"/>
    </row>
    <row r="52" spans="1:1" s="7" customFormat="1" x14ac:dyDescent="0.3">
      <c r="A52" s="4"/>
    </row>
    <row r="53" spans="1:1" s="7" customFormat="1" x14ac:dyDescent="0.3">
      <c r="A53" s="4"/>
    </row>
    <row r="54" spans="1:1" s="7" customFormat="1" x14ac:dyDescent="0.3">
      <c r="A54" s="4"/>
    </row>
    <row r="55" spans="1:1" s="7" customFormat="1" x14ac:dyDescent="0.3">
      <c r="A55" s="4"/>
    </row>
    <row r="56" spans="1:1" s="7" customFormat="1" x14ac:dyDescent="0.3">
      <c r="A56" s="4"/>
    </row>
    <row r="57" spans="1:1" s="7" customFormat="1" x14ac:dyDescent="0.3">
      <c r="A57" s="4"/>
    </row>
    <row r="58" spans="1:1" s="7" customFormat="1" x14ac:dyDescent="0.3">
      <c r="A58" s="4"/>
    </row>
    <row r="59" spans="1:1" s="7" customFormat="1" x14ac:dyDescent="0.3">
      <c r="A59" s="4"/>
    </row>
    <row r="60" spans="1:1" s="7" customFormat="1" x14ac:dyDescent="0.3">
      <c r="A60" s="4"/>
    </row>
    <row r="61" spans="1:1" s="7" customFormat="1" x14ac:dyDescent="0.3">
      <c r="A61" s="4"/>
    </row>
    <row r="62" spans="1:1" s="7" customFormat="1" x14ac:dyDescent="0.3">
      <c r="A62" s="4"/>
    </row>
    <row r="63" spans="1:1" s="7" customFormat="1" x14ac:dyDescent="0.3">
      <c r="A63" s="4"/>
    </row>
    <row r="64" spans="1:1" s="7" customFormat="1" x14ac:dyDescent="0.3">
      <c r="A64" s="4"/>
    </row>
    <row r="65" spans="1:1" s="7" customFormat="1" x14ac:dyDescent="0.3">
      <c r="A65" s="4"/>
    </row>
    <row r="66" spans="1:1" s="7" customFormat="1" x14ac:dyDescent="0.3">
      <c r="A66" s="4"/>
    </row>
    <row r="67" spans="1:1" s="7" customFormat="1" x14ac:dyDescent="0.3">
      <c r="A67" s="4"/>
    </row>
    <row r="68" spans="1:1" s="7" customFormat="1" x14ac:dyDescent="0.3">
      <c r="A68" s="4"/>
    </row>
    <row r="69" spans="1:1" s="7" customFormat="1" x14ac:dyDescent="0.3">
      <c r="A69" s="4"/>
    </row>
    <row r="70" spans="1:1" s="7" customFormat="1" x14ac:dyDescent="0.3">
      <c r="A70" s="4"/>
    </row>
    <row r="71" spans="1:1" s="7" customFormat="1" x14ac:dyDescent="0.3">
      <c r="A71" s="4"/>
    </row>
    <row r="72" spans="1:1" s="7" customFormat="1" x14ac:dyDescent="0.3">
      <c r="A72" s="4"/>
    </row>
    <row r="73" spans="1:1" s="7" customFormat="1" x14ac:dyDescent="0.3">
      <c r="A73" s="4"/>
    </row>
    <row r="74" spans="1:1" s="7" customFormat="1" x14ac:dyDescent="0.3">
      <c r="A74" s="4"/>
    </row>
    <row r="75" spans="1:1" s="7" customFormat="1" x14ac:dyDescent="0.3">
      <c r="A75" s="4"/>
    </row>
    <row r="76" spans="1:1" s="7" customFormat="1" x14ac:dyDescent="0.3">
      <c r="A76" s="4"/>
    </row>
    <row r="77" spans="1:1" s="7" customFormat="1" x14ac:dyDescent="0.3">
      <c r="A77" s="4"/>
    </row>
    <row r="78" spans="1:1" s="7" customFormat="1" x14ac:dyDescent="0.3">
      <c r="A78" s="4"/>
    </row>
    <row r="79" spans="1:1" s="7" customFormat="1" x14ac:dyDescent="0.3">
      <c r="A79" s="4"/>
    </row>
    <row r="80" spans="1:1" s="7" customFormat="1" x14ac:dyDescent="0.3">
      <c r="A80" s="4"/>
    </row>
    <row r="81" spans="1:1" s="7" customFormat="1" x14ac:dyDescent="0.3">
      <c r="A81" s="4"/>
    </row>
    <row r="82" spans="1:1" s="7" customFormat="1" x14ac:dyDescent="0.3">
      <c r="A82" s="4"/>
    </row>
    <row r="83" spans="1:1" s="7" customFormat="1" x14ac:dyDescent="0.3">
      <c r="A83" s="4"/>
    </row>
    <row r="84" spans="1:1" s="7" customFormat="1" x14ac:dyDescent="0.3">
      <c r="A84" s="4"/>
    </row>
    <row r="85" spans="1:1" s="7" customFormat="1" x14ac:dyDescent="0.3">
      <c r="A85" s="4"/>
    </row>
    <row r="86" spans="1:1" s="7" customFormat="1" x14ac:dyDescent="0.3">
      <c r="A86" s="4"/>
    </row>
    <row r="87" spans="1:1" s="7" customFormat="1" x14ac:dyDescent="0.3">
      <c r="A87" s="4"/>
    </row>
    <row r="88" spans="1:1" s="7" customFormat="1" x14ac:dyDescent="0.3">
      <c r="A88" s="4"/>
    </row>
    <row r="89" spans="1:1" s="7" customFormat="1" x14ac:dyDescent="0.3">
      <c r="A89" s="4"/>
    </row>
    <row r="90" spans="1:1" s="7" customFormat="1" x14ac:dyDescent="0.3">
      <c r="A90" s="4"/>
    </row>
    <row r="91" spans="1:1" s="7" customFormat="1" x14ac:dyDescent="0.3">
      <c r="A91" s="4"/>
    </row>
    <row r="92" spans="1:1" s="7" customFormat="1" x14ac:dyDescent="0.3">
      <c r="A92" s="4"/>
    </row>
    <row r="93" spans="1:1" s="7" customFormat="1" x14ac:dyDescent="0.3">
      <c r="A93" s="4"/>
    </row>
    <row r="94" spans="1:1" s="7" customFormat="1" x14ac:dyDescent="0.3">
      <c r="A94" s="4"/>
    </row>
    <row r="95" spans="1:1" s="7" customFormat="1" x14ac:dyDescent="0.3">
      <c r="A95" s="4"/>
    </row>
    <row r="96" spans="1:1" s="7" customFormat="1" x14ac:dyDescent="0.3">
      <c r="A96" s="4"/>
    </row>
    <row r="97" spans="1:1" s="7" customFormat="1" x14ac:dyDescent="0.3">
      <c r="A97" s="4"/>
    </row>
    <row r="98" spans="1:1" s="7" customFormat="1" x14ac:dyDescent="0.3">
      <c r="A98" s="4"/>
    </row>
    <row r="99" spans="1:1" s="7" customFormat="1" x14ac:dyDescent="0.3">
      <c r="A99" s="4"/>
    </row>
    <row r="100" spans="1:1" s="7" customFormat="1" x14ac:dyDescent="0.3">
      <c r="A100" s="4"/>
    </row>
    <row r="101" spans="1:1" s="7" customFormat="1" x14ac:dyDescent="0.3">
      <c r="A101" s="4"/>
    </row>
    <row r="102" spans="1:1" s="7" customFormat="1" x14ac:dyDescent="0.3">
      <c r="A102" s="4"/>
    </row>
    <row r="103" spans="1:1" s="7" customFormat="1" x14ac:dyDescent="0.3">
      <c r="A103" s="4"/>
    </row>
    <row r="104" spans="1:1" s="7" customFormat="1" x14ac:dyDescent="0.3">
      <c r="A104" s="4"/>
    </row>
    <row r="105" spans="1:1" s="7" customFormat="1" x14ac:dyDescent="0.3">
      <c r="A105" s="4"/>
    </row>
    <row r="106" spans="1:1" s="7" customFormat="1" x14ac:dyDescent="0.3">
      <c r="A106" s="4"/>
    </row>
    <row r="107" spans="1:1" s="7" customFormat="1" x14ac:dyDescent="0.3">
      <c r="A107" s="4"/>
    </row>
    <row r="108" spans="1:1" s="7" customFormat="1" x14ac:dyDescent="0.3">
      <c r="A108" s="4"/>
    </row>
    <row r="109" spans="1:1" s="7" customFormat="1" x14ac:dyDescent="0.3">
      <c r="A109" s="4"/>
    </row>
    <row r="110" spans="1:1" s="7" customFormat="1" x14ac:dyDescent="0.3">
      <c r="A110" s="4"/>
    </row>
    <row r="111" spans="1:1" s="7" customFormat="1" x14ac:dyDescent="0.3">
      <c r="A111" s="4"/>
    </row>
    <row r="112" spans="1:1" s="7" customFormat="1" x14ac:dyDescent="0.3">
      <c r="A112" s="4"/>
    </row>
    <row r="113" spans="1:1" s="7" customFormat="1" x14ac:dyDescent="0.3">
      <c r="A113" s="4"/>
    </row>
    <row r="114" spans="1:1" s="7" customFormat="1" x14ac:dyDescent="0.3">
      <c r="A114" s="4"/>
    </row>
    <row r="115" spans="1:1" s="7" customFormat="1" x14ac:dyDescent="0.3">
      <c r="A115" s="4"/>
    </row>
    <row r="116" spans="1:1" s="7" customFormat="1" x14ac:dyDescent="0.3">
      <c r="A116" s="4"/>
    </row>
    <row r="117" spans="1:1" s="7" customFormat="1" x14ac:dyDescent="0.3">
      <c r="A117" s="4"/>
    </row>
    <row r="118" spans="1:1" s="7" customFormat="1" x14ac:dyDescent="0.3">
      <c r="A118" s="4"/>
    </row>
    <row r="119" spans="1:1" s="7" customFormat="1" x14ac:dyDescent="0.3">
      <c r="A119" s="4"/>
    </row>
    <row r="120" spans="1:1" s="7" customFormat="1" x14ac:dyDescent="0.3">
      <c r="A120" s="4"/>
    </row>
    <row r="121" spans="1:1" s="7" customFormat="1" x14ac:dyDescent="0.3">
      <c r="A121" s="4"/>
    </row>
    <row r="122" spans="1:1" s="7" customFormat="1" x14ac:dyDescent="0.3">
      <c r="A122" s="4"/>
    </row>
    <row r="123" spans="1:1" s="7" customFormat="1" x14ac:dyDescent="0.3">
      <c r="A123" s="4"/>
    </row>
    <row r="124" spans="1:1" s="7" customFormat="1" x14ac:dyDescent="0.3">
      <c r="A124" s="4"/>
    </row>
    <row r="125" spans="1:1" s="7" customFormat="1" x14ac:dyDescent="0.3">
      <c r="A125" s="4"/>
    </row>
    <row r="126" spans="1:1" s="7" customFormat="1" x14ac:dyDescent="0.3">
      <c r="A126" s="4"/>
    </row>
    <row r="127" spans="1:1" s="7" customFormat="1" x14ac:dyDescent="0.3">
      <c r="A127" s="4"/>
    </row>
    <row r="128" spans="1:1" s="7" customFormat="1" x14ac:dyDescent="0.3">
      <c r="A128" s="4"/>
    </row>
    <row r="129" spans="1:1" s="7" customFormat="1" x14ac:dyDescent="0.3">
      <c r="A129" s="4"/>
    </row>
    <row r="130" spans="1:1" s="7" customFormat="1" x14ac:dyDescent="0.3">
      <c r="A130" s="4"/>
    </row>
    <row r="131" spans="1:1" s="7" customFormat="1" x14ac:dyDescent="0.3">
      <c r="A131" s="4"/>
    </row>
    <row r="132" spans="1:1" s="7" customFormat="1" x14ac:dyDescent="0.3">
      <c r="A132" s="4"/>
    </row>
    <row r="133" spans="1:1" s="7" customFormat="1" x14ac:dyDescent="0.3">
      <c r="A133" s="4"/>
    </row>
    <row r="134" spans="1:1" s="7" customFormat="1" x14ac:dyDescent="0.3">
      <c r="A134" s="4"/>
    </row>
    <row r="135" spans="1:1" s="7" customFormat="1" x14ac:dyDescent="0.3">
      <c r="A135" s="4"/>
    </row>
    <row r="136" spans="1:1" s="7" customFormat="1" x14ac:dyDescent="0.3">
      <c r="A136" s="4"/>
    </row>
    <row r="137" spans="1:1" s="7" customFormat="1" x14ac:dyDescent="0.3">
      <c r="A137" s="4"/>
    </row>
    <row r="138" spans="1:1" s="7" customFormat="1" x14ac:dyDescent="0.3">
      <c r="A138" s="4"/>
    </row>
    <row r="139" spans="1:1" s="7" customFormat="1" x14ac:dyDescent="0.3">
      <c r="A139" s="4"/>
    </row>
    <row r="140" spans="1:1" s="7" customFormat="1" x14ac:dyDescent="0.3">
      <c r="A140" s="4"/>
    </row>
    <row r="141" spans="1:1" s="7" customFormat="1" x14ac:dyDescent="0.3">
      <c r="A141" s="4"/>
    </row>
    <row r="142" spans="1:1" s="7" customFormat="1" x14ac:dyDescent="0.3">
      <c r="A142" s="4"/>
    </row>
    <row r="143" spans="1:1" s="7" customFormat="1" x14ac:dyDescent="0.3">
      <c r="A143" s="4"/>
    </row>
    <row r="144" spans="1:1" s="7" customFormat="1" x14ac:dyDescent="0.3">
      <c r="A144" s="4"/>
    </row>
    <row r="145" spans="1:1" s="7" customFormat="1" x14ac:dyDescent="0.3">
      <c r="A145" s="4"/>
    </row>
    <row r="146" spans="1:1" s="7" customFormat="1" x14ac:dyDescent="0.3">
      <c r="A146" s="4"/>
    </row>
    <row r="147" spans="1:1" s="7" customFormat="1" x14ac:dyDescent="0.3">
      <c r="A147" s="4"/>
    </row>
    <row r="148" spans="1:1" s="7" customFormat="1" x14ac:dyDescent="0.3">
      <c r="A148" s="4"/>
    </row>
    <row r="149" spans="1:1" s="7" customFormat="1" x14ac:dyDescent="0.3">
      <c r="A149" s="4"/>
    </row>
    <row r="150" spans="1:1" s="7" customFormat="1" x14ac:dyDescent="0.3">
      <c r="A150" s="4"/>
    </row>
    <row r="151" spans="1:1" s="7" customFormat="1" x14ac:dyDescent="0.3">
      <c r="A151" s="4"/>
    </row>
    <row r="152" spans="1:1" s="7" customFormat="1" x14ac:dyDescent="0.3">
      <c r="A152" s="4"/>
    </row>
    <row r="153" spans="1:1" s="7" customFormat="1" x14ac:dyDescent="0.3">
      <c r="A153" s="4"/>
    </row>
    <row r="154" spans="1:1" s="7" customFormat="1" x14ac:dyDescent="0.3">
      <c r="A154" s="4"/>
    </row>
    <row r="155" spans="1:1" s="7" customFormat="1" x14ac:dyDescent="0.3">
      <c r="A155" s="4"/>
    </row>
    <row r="156" spans="1:1" s="7" customFormat="1" x14ac:dyDescent="0.3">
      <c r="A156" s="4"/>
    </row>
    <row r="157" spans="1:1" s="7" customFormat="1" x14ac:dyDescent="0.3">
      <c r="A157" s="4"/>
    </row>
    <row r="158" spans="1:1" s="7" customFormat="1" x14ac:dyDescent="0.3">
      <c r="A158" s="4"/>
    </row>
    <row r="159" spans="1:1" s="7" customFormat="1" x14ac:dyDescent="0.3">
      <c r="A159" s="4"/>
    </row>
    <row r="160" spans="1:1" s="7" customFormat="1" x14ac:dyDescent="0.3">
      <c r="A160" s="4"/>
    </row>
    <row r="161" spans="1:1" s="7" customFormat="1" x14ac:dyDescent="0.3">
      <c r="A161" s="4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Eduardo Salino</cp:lastModifiedBy>
  <dcterms:created xsi:type="dcterms:W3CDTF">2024-12-19T13:13:10Z</dcterms:created>
  <dcterms:modified xsi:type="dcterms:W3CDTF">2026-02-10T01:27:41Z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